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990" tabRatio="600" firstSheet="0" activeTab="0" autoFilterDateGrouping="1"/>
  </bookViews>
  <sheets>
    <sheet name="Stock" sheetId="1" state="visible" r:id="rId1"/>
    <sheet name="Reorder" sheetId="2" state="visible" r:id="rId2"/>
    <sheet name="Suppliers" sheetId="3" state="visible" r:id="rId3"/>
    <sheet name="Movements" sheetId="4" state="visible" r:id="rId4"/>
    <sheet name="_constants" sheetId="5" state="veryHidden" r:id="rId5"/>
  </sheets>
  <definedNames>
    <definedName name="SAFETY_FACTOR">_constants!$C$2</definedName>
    <definedName name="ANNUAL_HOLDING_RATE">_constants!$C$3</definedName>
    <definedName name="ORDER_COST">_constants!$C$4</definedName>
    <definedName name="ANNUAL_DEMAND_DEFAULT">_constants!$C$5</definedName>
    <definedName name="SERVICE_LEVEL_Z">_constants!$C$6</definedName>
    <definedName name="LEAD_TIME_DEFAULT">_constants!$C$5</definedName>
  </definedNames>
  <calcPr calcId="191029" fullCalcOnLoad="1" concurrentCalc="0"/>
</workbook>
</file>

<file path=xl/styles.xml><?xml version="1.0" encoding="utf-8"?>
<styleSheet xmlns="http://schemas.openxmlformats.org/spreadsheetml/2006/main">
  <numFmts count="0"/>
  <fonts count="12">
    <font>
      <name val="Calibri"/>
      <family val="2"/>
      <color theme="1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8"/>
      <scheme val="minor"/>
    </font>
    <font>
      <name val="Calibri"/>
      <family val="2"/>
      <color rgb="FF000000"/>
      <sz val="11"/>
    </font>
    <font>
      <name val="Calibri"/>
      <family val="2"/>
      <color theme="0"/>
      <sz val="11"/>
      <scheme val="minor"/>
    </font>
    <font>
      <name val="Calibri"/>
      <family val="2"/>
      <color theme="0" tint="-0.499984740745262"/>
      <sz val="11"/>
      <scheme val="minor"/>
    </font>
    <font>
      <name val="Segoe UI"/>
      <family val="2"/>
      <color rgb="FF000000"/>
      <sz val="8"/>
    </font>
    <font>
      <name val="Calibri"/>
      <family val="2"/>
      <color rgb="FF000000"/>
      <sz val="8"/>
      <scheme val="minor"/>
    </font>
    <font>
      <name val="Calibri"/>
      <family val="2"/>
      <color theme="1"/>
      <sz val="8"/>
      <scheme val="minor"/>
    </font>
    <font>
      <name val="Arial"/>
      <family val="2"/>
      <color rgb="FF000000"/>
      <sz val="10"/>
    </font>
    <font>
      <b val="1"/>
      <color rgb="00FFFFFF"/>
    </font>
  </fonts>
  <fills count="6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rgb="00305496"/>
      </patternFill>
    </fill>
    <fill>
      <patternFill patternType="solid">
        <fgColor rgb="00D9E1F2"/>
      </patternFill>
    </fill>
  </fills>
  <borders count="18">
    <border>
      <left/>
      <right/>
      <top/>
      <bottom/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6" tint="-0.249946592608417"/>
      </left>
      <right style="thin">
        <color theme="6" tint="-0.249946592608417"/>
      </right>
      <top style="thin">
        <color theme="6" tint="-0.249946592608417"/>
      </top>
      <bottom style="thin">
        <color theme="6" tint="-0.249946592608417"/>
      </bottom>
      <diagonal/>
    </border>
    <border>
      <left style="thin">
        <color theme="6" tint="-0.249946592608417"/>
      </left>
      <right/>
      <top style="thin">
        <color theme="6" tint="-0.249946592608417"/>
      </top>
      <bottom/>
      <diagonal/>
    </border>
    <border>
      <left/>
      <right/>
      <top style="thin">
        <color theme="6" tint="-0.249946592608417"/>
      </top>
      <bottom/>
      <diagonal/>
    </border>
    <border>
      <left/>
      <right style="thin">
        <color theme="6" tint="-0.249946592608417"/>
      </right>
      <top style="thin">
        <color theme="6" tint="-0.249946592608417"/>
      </top>
      <bottom/>
      <diagonal/>
    </border>
    <border>
      <left style="thin">
        <color theme="6" tint="-0.249946592608417"/>
      </left>
      <right/>
      <top/>
      <bottom/>
      <diagonal/>
    </border>
    <border>
      <left/>
      <right style="thin">
        <color theme="6" tint="-0.249946592608417"/>
      </right>
      <top/>
      <bottom/>
      <diagonal/>
    </border>
    <border>
      <left style="thin">
        <color theme="6" tint="-0.249946592608417"/>
      </left>
      <right/>
      <top/>
      <bottom style="thin">
        <color theme="6" tint="-0.249946592608417"/>
      </bottom>
      <diagonal/>
    </border>
    <border>
      <left/>
      <right/>
      <top/>
      <bottom style="thin">
        <color theme="6" tint="-0.249946592608417"/>
      </bottom>
      <diagonal/>
    </border>
    <border>
      <left/>
      <right style="thin">
        <color theme="6" tint="-0.249946592608417"/>
      </right>
      <top/>
      <bottom style="thin">
        <color theme="6" tint="-0.249946592608417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rgb="00AAAAAA"/>
      </left>
      <right style="thin">
        <color rgb="00AAAAAA"/>
      </right>
      <top style="thin">
        <color rgb="00AAAAAA"/>
      </top>
      <bottom style="thin">
        <color rgb="00AAAAAA"/>
      </bottom>
    </border>
  </borders>
  <cellStyleXfs count="1">
    <xf numFmtId="0" fontId="0" fillId="0" borderId="0"/>
  </cellStyleXfs>
  <cellXfs count="43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6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0" fillId="2" borderId="3" applyAlignment="1" pivotButton="0" quotePrefix="0" xfId="0">
      <alignment vertical="center"/>
    </xf>
    <xf numFmtId="0" fontId="1" fillId="2" borderId="4" applyAlignment="1" pivotButton="0" quotePrefix="0" xfId="0">
      <alignment horizontal="center" vertical="center"/>
    </xf>
    <xf numFmtId="0" fontId="0" fillId="2" borderId="5" applyAlignment="1" pivotButton="0" quotePrefix="0" xfId="0">
      <alignment vertical="center"/>
    </xf>
    <xf numFmtId="0" fontId="0" fillId="2" borderId="6" applyAlignment="1" pivotButton="0" quotePrefix="0" xfId="0">
      <alignment vertical="center"/>
    </xf>
    <xf numFmtId="0" fontId="2" fillId="2" borderId="0" applyAlignment="1" pivotButton="0" quotePrefix="0" xfId="0">
      <alignment horizontal="center" vertical="center"/>
    </xf>
    <xf numFmtId="0" fontId="0" fillId="2" borderId="7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indent="1"/>
    </xf>
    <xf numFmtId="0" fontId="3" fillId="2" borderId="0" applyAlignment="1" pivotButton="0" quotePrefix="0" xfId="0">
      <alignment horizontal="center" vertical="center"/>
    </xf>
    <xf numFmtId="0" fontId="0" fillId="2" borderId="8" applyAlignment="1" pivotButton="0" quotePrefix="0" xfId="0">
      <alignment vertical="center"/>
    </xf>
    <xf numFmtId="0" fontId="0" fillId="2" borderId="9" applyAlignment="1" pivotButton="0" quotePrefix="0" xfId="0">
      <alignment vertical="center"/>
    </xf>
    <xf numFmtId="0" fontId="0" fillId="2" borderId="10" applyAlignment="1" pivotButton="0" quotePrefix="0" xfId="0">
      <alignment vertical="center"/>
    </xf>
    <xf numFmtId="0" fontId="0" fillId="0" borderId="2" applyAlignment="1" pivotButton="0" quotePrefix="0" xfId="0">
      <alignment horizontal="left" vertical="center" indent="1"/>
    </xf>
    <xf numFmtId="0" fontId="0" fillId="3" borderId="1" applyAlignment="1" pivotButton="0" quotePrefix="0" xfId="0">
      <alignment vertical="center"/>
    </xf>
    <xf numFmtId="0" fontId="0" fillId="0" borderId="0" applyAlignment="1" pivotButton="0" quotePrefix="0" xfId="0">
      <alignment vertical="top" wrapText="1"/>
    </xf>
    <xf numFmtId="0" fontId="5" fillId="0" borderId="0" applyAlignment="1" pivotButton="0" quotePrefix="0" xfId="0">
      <alignment vertical="center"/>
    </xf>
    <xf numFmtId="0" fontId="1" fillId="0" borderId="0" pivotButton="0" quotePrefix="0" xfId="0"/>
    <xf numFmtId="0" fontId="0" fillId="0" borderId="0" applyAlignment="1" pivotButton="0" quotePrefix="0" xfId="0">
      <alignment horizontal="right" indent="1"/>
    </xf>
    <xf numFmtId="0" fontId="0" fillId="0" borderId="13" applyAlignment="1" pivotButton="0" quotePrefix="0" xfId="0">
      <alignment horizontal="right" indent="1"/>
    </xf>
    <xf numFmtId="0" fontId="0" fillId="0" borderId="14" applyAlignment="1" pivotButton="0" quotePrefix="0" xfId="0">
      <alignment horizontal="right" indent="1"/>
    </xf>
    <xf numFmtId="0" fontId="5" fillId="0" borderId="0" pivotButton="0" quotePrefix="0" xfId="0"/>
    <xf numFmtId="49" fontId="8" fillId="0" borderId="13" applyAlignment="1" pivotButton="0" quotePrefix="0" xfId="0">
      <alignment horizontal="left"/>
    </xf>
    <xf numFmtId="49" fontId="9" fillId="0" borderId="14" pivotButton="0" quotePrefix="0" xfId="0"/>
    <xf numFmtId="0" fontId="0" fillId="0" borderId="0" applyAlignment="1" pivotButton="0" quotePrefix="0" xfId="0">
      <alignment horizontal="right" vertical="center" indent="1"/>
    </xf>
    <xf numFmtId="0" fontId="0" fillId="0" borderId="0" applyAlignment="1" pivotButton="0" quotePrefix="0" xfId="0">
      <alignment horizontal="left" vertical="center" indent="1"/>
    </xf>
    <xf numFmtId="14" fontId="0" fillId="3" borderId="0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right" vertical="top" indent="1"/>
    </xf>
    <xf numFmtId="0" fontId="0" fillId="0" borderId="0" applyAlignment="1" pivotButton="0" quotePrefix="0" xfId="0">
      <alignment horizontal="left" vertical="top" wrapText="1"/>
    </xf>
    <xf numFmtId="0" fontId="10" fillId="0" borderId="0" pivotButton="0" quotePrefix="0" xfId="0"/>
    <xf numFmtId="0" fontId="0" fillId="0" borderId="0" applyAlignment="1" pivotButton="0" quotePrefix="0" xfId="0">
      <alignment wrapText="1"/>
    </xf>
    <xf numFmtId="0" fontId="0" fillId="0" borderId="15" applyAlignment="1" pivotButton="0" quotePrefix="0" xfId="0">
      <alignment vertical="center"/>
    </xf>
    <xf numFmtId="0" fontId="6" fillId="0" borderId="0" pivotButton="0" quotePrefix="0" xfId="0"/>
    <xf numFmtId="0" fontId="1" fillId="0" borderId="11" applyAlignment="1" pivotButton="0" quotePrefix="0" xfId="0">
      <alignment horizontal="center" vertical="center"/>
    </xf>
    <xf numFmtId="0" fontId="1" fillId="0" borderId="12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1" fillId="4" borderId="17" applyAlignment="1" pivotButton="0" quotePrefix="0" xfId="0">
      <alignment horizontal="center" vertical="center"/>
    </xf>
    <xf numFmtId="0" fontId="0" fillId="5" borderId="0" pivotButton="0" quotePrefix="0" xfId="0"/>
  </cellXfs>
  <cellStyles count="1">
    <cellStyle name="Normal" xfId="0" builtinId="0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51"/>
  <sheetViews>
    <sheetView workbookViewId="0">
      <selection activeCell="A1" sqref="A1"/>
    </sheetView>
  </sheetViews>
  <sheetFormatPr baseColWidth="8" defaultRowHeight="15"/>
  <sheetData>
    <row r="1">
      <c r="A1" s="41" t="inlineStr">
        <is>
          <t>SKU</t>
        </is>
      </c>
      <c r="B1" s="41" t="inlineStr">
        <is>
          <t>CurrentQty</t>
        </is>
      </c>
      <c r="C1" s="41" t="inlineStr">
        <is>
          <t>ReorderPoint</t>
        </is>
      </c>
      <c r="D1" s="41" t="inlineStr">
        <is>
          <t>SafetyStock</t>
        </is>
      </c>
      <c r="E1" s="41" t="inlineStr">
        <is>
          <t>EOQ</t>
        </is>
      </c>
      <c r="F1" s="41" t="inlineStr">
        <is>
          <t>UnitPrice</t>
        </is>
      </c>
      <c r="G1" s="41" t="inlineStr">
        <is>
          <t>DailyDemand</t>
        </is>
      </c>
      <c r="H1" s="41" t="inlineStr">
        <is>
          <t>LeadTimeDays</t>
        </is>
      </c>
    </row>
    <row r="2">
      <c r="A2" s="42" t="inlineStr">
        <is>
          <t>SKU-0001</t>
        </is>
      </c>
      <c r="B2" s="42" t="n">
        <v>766</v>
      </c>
      <c r="C2" s="42">
        <f>G2*H2+D2</f>
        <v/>
      </c>
      <c r="D2" s="42">
        <f>SAFETY_FACTOR*0.30*G2*SQRT(H2)</f>
        <v/>
      </c>
      <c r="E2" s="42">
        <f>SQRT(2*ANNUAL_DEMAND_DEFAULT*ORDER_COST/(ANNUAL_HOLDING_RATE*F2))</f>
        <v/>
      </c>
      <c r="F2" s="42" t="n">
        <v>90.75</v>
      </c>
      <c r="G2" s="42" t="n">
        <v>8</v>
      </c>
      <c r="H2" s="42" t="n">
        <v>21</v>
      </c>
    </row>
    <row r="3">
      <c r="A3" t="inlineStr">
        <is>
          <t>SKU-0002</t>
        </is>
      </c>
      <c r="B3" t="n">
        <v>466</v>
      </c>
      <c r="C3">
        <f>G3*H3+D3</f>
        <v/>
      </c>
      <c r="D3">
        <f>SAFETY_FACTOR*0.30*G3*SQRT(H3)</f>
        <v/>
      </c>
      <c r="E3">
        <f>SQRT(2*ANNUAL_DEMAND_DEFAULT*ORDER_COST/(ANNUAL_HOLDING_RATE*F3))</f>
        <v/>
      </c>
      <c r="F3" t="n">
        <v>91.45999999999999</v>
      </c>
      <c r="G3" t="n">
        <v>17</v>
      </c>
      <c r="H3" t="n">
        <v>14</v>
      </c>
    </row>
    <row r="4">
      <c r="A4" s="42" t="inlineStr">
        <is>
          <t>SKU-0003</t>
        </is>
      </c>
      <c r="B4" s="42" t="n">
        <v>460</v>
      </c>
      <c r="C4" s="42">
        <f>G4*H4+D4</f>
        <v/>
      </c>
      <c r="D4" s="42">
        <f>SAFETY_FACTOR*0.30*G4*SQRT(H4)</f>
        <v/>
      </c>
      <c r="E4" s="42">
        <f>SQRT(2*ANNUAL_DEMAND_DEFAULT*ORDER_COST/(ANNUAL_HOLDING_RATE*F4))</f>
        <v/>
      </c>
      <c r="F4" s="42" t="n">
        <v>64.66</v>
      </c>
      <c r="G4" s="42" t="n">
        <v>6</v>
      </c>
      <c r="H4" s="42" t="n">
        <v>14</v>
      </c>
    </row>
    <row r="5">
      <c r="A5" t="inlineStr">
        <is>
          <t>SKU-0004</t>
        </is>
      </c>
      <c r="B5" t="n">
        <v>60</v>
      </c>
      <c r="C5">
        <f>G5*H5+D5</f>
        <v/>
      </c>
      <c r="D5">
        <f>SAFETY_FACTOR*0.30*G5*SQRT(H5)</f>
        <v/>
      </c>
      <c r="E5">
        <f>SQRT(2*ANNUAL_DEMAND_DEFAULT*ORDER_COST/(ANNUAL_HOLDING_RATE*F5))</f>
        <v/>
      </c>
      <c r="F5" t="n">
        <v>22.56</v>
      </c>
      <c r="G5" t="n">
        <v>45</v>
      </c>
      <c r="H5" t="n">
        <v>21</v>
      </c>
    </row>
    <row r="6">
      <c r="A6" s="42" t="inlineStr">
        <is>
          <t>SKU-0005</t>
        </is>
      </c>
      <c r="B6" s="42" t="n">
        <v>582</v>
      </c>
      <c r="C6" s="42">
        <f>G6*H6+D6</f>
        <v/>
      </c>
      <c r="D6" s="42">
        <f>SAFETY_FACTOR*0.30*G6*SQRT(H6)</f>
        <v/>
      </c>
      <c r="E6" s="42">
        <f>SQRT(2*ANNUAL_DEMAND_DEFAULT*ORDER_COST/(ANNUAL_HOLDING_RATE*F6))</f>
        <v/>
      </c>
      <c r="F6" s="42" t="n">
        <v>2.69</v>
      </c>
      <c r="G6" s="42" t="n">
        <v>5</v>
      </c>
      <c r="H6" s="42" t="n">
        <v>5</v>
      </c>
    </row>
    <row r="7">
      <c r="A7" t="inlineStr">
        <is>
          <t>SKU-0006</t>
        </is>
      </c>
      <c r="B7" t="n">
        <v>787</v>
      </c>
      <c r="C7">
        <f>G7*H7+D7</f>
        <v/>
      </c>
      <c r="D7">
        <f>SAFETY_FACTOR*0.30*G7*SQRT(H7)</f>
        <v/>
      </c>
      <c r="E7">
        <f>SQRT(2*ANNUAL_DEMAND_DEFAULT*ORDER_COST/(ANNUAL_HOLDING_RATE*F7))</f>
        <v/>
      </c>
      <c r="F7" t="n">
        <v>53.16</v>
      </c>
      <c r="G7" t="n">
        <v>22</v>
      </c>
      <c r="H7" t="n">
        <v>5</v>
      </c>
    </row>
    <row r="8">
      <c r="A8" s="42" t="inlineStr">
        <is>
          <t>SKU-0007</t>
        </is>
      </c>
      <c r="B8" s="42" t="n">
        <v>570</v>
      </c>
      <c r="C8" s="42">
        <f>G8*H8+D8</f>
        <v/>
      </c>
      <c r="D8" s="42">
        <f>SAFETY_FACTOR*0.30*G8*SQRT(H8)</f>
        <v/>
      </c>
      <c r="E8" s="42">
        <f>SQRT(2*ANNUAL_DEMAND_DEFAULT*ORDER_COST/(ANNUAL_HOLDING_RATE*F8))</f>
        <v/>
      </c>
      <c r="F8" s="42" t="n">
        <v>89.44</v>
      </c>
      <c r="G8" s="42" t="n">
        <v>26</v>
      </c>
      <c r="H8" s="42" t="n">
        <v>5</v>
      </c>
    </row>
    <row r="9">
      <c r="A9" t="inlineStr">
        <is>
          <t>SKU-0008</t>
        </is>
      </c>
      <c r="B9" t="n">
        <v>361</v>
      </c>
      <c r="C9">
        <f>G9*H9+D9</f>
        <v/>
      </c>
      <c r="D9">
        <f>SAFETY_FACTOR*0.30*G9*SQRT(H9)</f>
        <v/>
      </c>
      <c r="E9">
        <f>SQRT(2*ANNUAL_DEMAND_DEFAULT*ORDER_COST/(ANNUAL_HOLDING_RATE*F9))</f>
        <v/>
      </c>
      <c r="F9" t="n">
        <v>66.29000000000001</v>
      </c>
      <c r="G9" t="n">
        <v>56</v>
      </c>
      <c r="H9" t="n">
        <v>10</v>
      </c>
    </row>
    <row r="10">
      <c r="A10" s="42" t="inlineStr">
        <is>
          <t>SKU-0009</t>
        </is>
      </c>
      <c r="B10" s="42" t="n">
        <v>753</v>
      </c>
      <c r="C10" s="42">
        <f>G10*H10+D10</f>
        <v/>
      </c>
      <c r="D10" s="42">
        <f>SAFETY_FACTOR*0.30*G10*SQRT(H10)</f>
        <v/>
      </c>
      <c r="E10" s="42">
        <f>SQRT(2*ANNUAL_DEMAND_DEFAULT*ORDER_COST/(ANNUAL_HOLDING_RATE*F10))</f>
        <v/>
      </c>
      <c r="F10" s="42" t="n">
        <v>52.98</v>
      </c>
      <c r="G10" s="42" t="n">
        <v>39</v>
      </c>
      <c r="H10" s="42" t="n">
        <v>14</v>
      </c>
    </row>
    <row r="11">
      <c r="A11" t="inlineStr">
        <is>
          <t>SKU-0010</t>
        </is>
      </c>
      <c r="B11" t="n">
        <v>783</v>
      </c>
      <c r="C11">
        <f>G11*H11+D11</f>
        <v/>
      </c>
      <c r="D11">
        <f>SAFETY_FACTOR*0.30*G11*SQRT(H11)</f>
        <v/>
      </c>
      <c r="E11">
        <f>SQRT(2*ANNUAL_DEMAND_DEFAULT*ORDER_COST/(ANNUAL_HOLDING_RATE*F11))</f>
        <v/>
      </c>
      <c r="F11" t="n">
        <v>88.25</v>
      </c>
      <c r="G11" t="n">
        <v>29</v>
      </c>
      <c r="H11" t="n">
        <v>7</v>
      </c>
    </row>
    <row r="12">
      <c r="A12" s="42" t="inlineStr">
        <is>
          <t>SKU-0011</t>
        </is>
      </c>
      <c r="B12" s="42" t="n">
        <v>52</v>
      </c>
      <c r="C12" s="42">
        <f>G12*H12+D12</f>
        <v/>
      </c>
      <c r="D12" s="42">
        <f>SAFETY_FACTOR*0.30*G12*SQRT(H12)</f>
        <v/>
      </c>
      <c r="E12" s="42">
        <f>SQRT(2*ANNUAL_DEMAND_DEFAULT*ORDER_COST/(ANNUAL_HOLDING_RATE*F12))</f>
        <v/>
      </c>
      <c r="F12" s="42" t="n">
        <v>33.7</v>
      </c>
      <c r="G12" s="42" t="n">
        <v>33</v>
      </c>
      <c r="H12" s="42" t="n">
        <v>7</v>
      </c>
    </row>
    <row r="13">
      <c r="A13" t="inlineStr">
        <is>
          <t>SKU-0012</t>
        </is>
      </c>
      <c r="B13" t="n">
        <v>221</v>
      </c>
      <c r="C13">
        <f>G13*H13+D13</f>
        <v/>
      </c>
      <c r="D13">
        <f>SAFETY_FACTOR*0.30*G13*SQRT(H13)</f>
        <v/>
      </c>
      <c r="E13">
        <f>SQRT(2*ANNUAL_DEMAND_DEFAULT*ORDER_COST/(ANNUAL_HOLDING_RATE*F13))</f>
        <v/>
      </c>
      <c r="F13" t="n">
        <v>74.67</v>
      </c>
      <c r="G13" t="n">
        <v>43</v>
      </c>
      <c r="H13" t="n">
        <v>7</v>
      </c>
    </row>
    <row r="14">
      <c r="A14" s="42" t="inlineStr">
        <is>
          <t>SKU-0013</t>
        </is>
      </c>
      <c r="B14" s="42" t="n">
        <v>252</v>
      </c>
      <c r="C14" s="42">
        <f>G14*H14+D14</f>
        <v/>
      </c>
      <c r="D14" s="42">
        <f>SAFETY_FACTOR*0.30*G14*SQRT(H14)</f>
        <v/>
      </c>
      <c r="E14" s="42">
        <f>SQRT(2*ANNUAL_DEMAND_DEFAULT*ORDER_COST/(ANNUAL_HOLDING_RATE*F14))</f>
        <v/>
      </c>
      <c r="F14" s="42" t="n">
        <v>23.28</v>
      </c>
      <c r="G14" s="42" t="n">
        <v>53</v>
      </c>
      <c r="H14" s="42" t="n">
        <v>21</v>
      </c>
    </row>
    <row r="15">
      <c r="A15" t="inlineStr">
        <is>
          <t>SKU-0014</t>
        </is>
      </c>
      <c r="B15" t="n">
        <v>452</v>
      </c>
      <c r="C15">
        <f>G15*H15+D15</f>
        <v/>
      </c>
      <c r="D15">
        <f>SAFETY_FACTOR*0.30*G15*SQRT(H15)</f>
        <v/>
      </c>
      <c r="E15">
        <f>SQRT(2*ANNUAL_DEMAND_DEFAULT*ORDER_COST/(ANNUAL_HOLDING_RATE*F15))</f>
        <v/>
      </c>
      <c r="F15" t="n">
        <v>5.5</v>
      </c>
      <c r="G15" t="n">
        <v>20</v>
      </c>
      <c r="H15" t="n">
        <v>5</v>
      </c>
    </row>
    <row r="16">
      <c r="A16" s="42" t="inlineStr">
        <is>
          <t>SKU-0015</t>
        </is>
      </c>
      <c r="B16" s="42" t="n">
        <v>129</v>
      </c>
      <c r="C16" s="42">
        <f>G16*H16+D16</f>
        <v/>
      </c>
      <c r="D16" s="42">
        <f>SAFETY_FACTOR*0.30*G16*SQRT(H16)</f>
        <v/>
      </c>
      <c r="E16" s="42">
        <f>SQRT(2*ANNUAL_DEMAND_DEFAULT*ORDER_COST/(ANNUAL_HOLDING_RATE*F16))</f>
        <v/>
      </c>
      <c r="F16" s="42" t="n">
        <v>35.77</v>
      </c>
      <c r="G16" s="42" t="n">
        <v>27</v>
      </c>
      <c r="H16" s="42" t="n">
        <v>5</v>
      </c>
    </row>
    <row r="17">
      <c r="A17" t="inlineStr">
        <is>
          <t>SKU-0016</t>
        </is>
      </c>
      <c r="B17" t="n">
        <v>304</v>
      </c>
      <c r="C17">
        <f>G17*H17+D17</f>
        <v/>
      </c>
      <c r="D17">
        <f>SAFETY_FACTOR*0.30*G17*SQRT(H17)</f>
        <v/>
      </c>
      <c r="E17">
        <f>SQRT(2*ANNUAL_DEMAND_DEFAULT*ORDER_COST/(ANNUAL_HOLDING_RATE*F17))</f>
        <v/>
      </c>
      <c r="F17" t="n">
        <v>67.17</v>
      </c>
      <c r="G17" t="n">
        <v>25</v>
      </c>
      <c r="H17" t="n">
        <v>21</v>
      </c>
    </row>
    <row r="18">
      <c r="A18" s="42" t="inlineStr">
        <is>
          <t>SKU-0017</t>
        </is>
      </c>
      <c r="B18" s="42" t="n">
        <v>180</v>
      </c>
      <c r="C18" s="42">
        <f>G18*H18+D18</f>
        <v/>
      </c>
      <c r="D18" s="42">
        <f>SAFETY_FACTOR*0.30*G18*SQRT(H18)</f>
        <v/>
      </c>
      <c r="E18" s="42">
        <f>SQRT(2*ANNUAL_DEMAND_DEFAULT*ORDER_COST/(ANNUAL_HOLDING_RATE*F18))</f>
        <v/>
      </c>
      <c r="F18" s="42" t="n">
        <v>37.09</v>
      </c>
      <c r="G18" s="42" t="n">
        <v>27</v>
      </c>
      <c r="H18" s="42" t="n">
        <v>5</v>
      </c>
    </row>
    <row r="19">
      <c r="A19" t="inlineStr">
        <is>
          <t>SKU-0018</t>
        </is>
      </c>
      <c r="B19" t="n">
        <v>305</v>
      </c>
      <c r="C19">
        <f>G19*H19+D19</f>
        <v/>
      </c>
      <c r="D19">
        <f>SAFETY_FACTOR*0.30*G19*SQRT(H19)</f>
        <v/>
      </c>
      <c r="E19">
        <f>SQRT(2*ANNUAL_DEMAND_DEFAULT*ORDER_COST/(ANNUAL_HOLDING_RATE*F19))</f>
        <v/>
      </c>
      <c r="F19" t="n">
        <v>45.83</v>
      </c>
      <c r="G19" t="n">
        <v>55</v>
      </c>
      <c r="H19" t="n">
        <v>10</v>
      </c>
    </row>
    <row r="20">
      <c r="A20" s="42" t="inlineStr">
        <is>
          <t>SKU-0019</t>
        </is>
      </c>
      <c r="B20" s="42" t="n">
        <v>370</v>
      </c>
      <c r="C20" s="42">
        <f>G20*H20+D20</f>
        <v/>
      </c>
      <c r="D20" s="42">
        <f>SAFETY_FACTOR*0.30*G20*SQRT(H20)</f>
        <v/>
      </c>
      <c r="E20" s="42">
        <f>SQRT(2*ANNUAL_DEMAND_DEFAULT*ORDER_COST/(ANNUAL_HOLDING_RATE*F20))</f>
        <v/>
      </c>
      <c r="F20" s="42" t="n">
        <v>65.63</v>
      </c>
      <c r="G20" s="42" t="n">
        <v>22</v>
      </c>
      <c r="H20" s="42" t="n">
        <v>7</v>
      </c>
    </row>
    <row r="21">
      <c r="A21" t="inlineStr">
        <is>
          <t>SKU-0020</t>
        </is>
      </c>
      <c r="B21" t="n">
        <v>144</v>
      </c>
      <c r="C21">
        <f>G21*H21+D21</f>
        <v/>
      </c>
      <c r="D21">
        <f>SAFETY_FACTOR*0.30*G21*SQRT(H21)</f>
        <v/>
      </c>
      <c r="E21">
        <f>SQRT(2*ANNUAL_DEMAND_DEFAULT*ORDER_COST/(ANNUAL_HOLDING_RATE*F21))</f>
        <v/>
      </c>
      <c r="F21" t="n">
        <v>4.11</v>
      </c>
      <c r="G21" t="n">
        <v>41</v>
      </c>
      <c r="H21" t="n">
        <v>14</v>
      </c>
    </row>
    <row r="22">
      <c r="A22" s="42" t="inlineStr">
        <is>
          <t>SKU-0021</t>
        </is>
      </c>
      <c r="B22" s="42" t="n">
        <v>34</v>
      </c>
      <c r="C22" s="42">
        <f>G22*H22+D22</f>
        <v/>
      </c>
      <c r="D22" s="42">
        <f>SAFETY_FACTOR*0.30*G22*SQRT(H22)</f>
        <v/>
      </c>
      <c r="E22" s="42">
        <f>SQRT(2*ANNUAL_DEMAND_DEFAULT*ORDER_COST/(ANNUAL_HOLDING_RATE*F22))</f>
        <v/>
      </c>
      <c r="F22" s="42" t="n">
        <v>86.83</v>
      </c>
      <c r="G22" s="42" t="n">
        <v>54</v>
      </c>
      <c r="H22" s="42" t="n">
        <v>5</v>
      </c>
    </row>
    <row r="23">
      <c r="A23" t="inlineStr">
        <is>
          <t>SKU-0022</t>
        </is>
      </c>
      <c r="B23" t="n">
        <v>587</v>
      </c>
      <c r="C23">
        <f>G23*H23+D23</f>
        <v/>
      </c>
      <c r="D23">
        <f>SAFETY_FACTOR*0.30*G23*SQRT(H23)</f>
        <v/>
      </c>
      <c r="E23">
        <f>SQRT(2*ANNUAL_DEMAND_DEFAULT*ORDER_COST/(ANNUAL_HOLDING_RATE*F23))</f>
        <v/>
      </c>
      <c r="F23" t="n">
        <v>75.43000000000001</v>
      </c>
      <c r="G23" t="n">
        <v>48</v>
      </c>
      <c r="H23" t="n">
        <v>7</v>
      </c>
    </row>
    <row r="24">
      <c r="A24" s="42" t="inlineStr">
        <is>
          <t>SKU-0023</t>
        </is>
      </c>
      <c r="B24" s="42" t="n">
        <v>254</v>
      </c>
      <c r="C24" s="42">
        <f>G24*H24+D24</f>
        <v/>
      </c>
      <c r="D24" s="42">
        <f>SAFETY_FACTOR*0.30*G24*SQRT(H24)</f>
        <v/>
      </c>
      <c r="E24" s="42">
        <f>SQRT(2*ANNUAL_DEMAND_DEFAULT*ORDER_COST/(ANNUAL_HOLDING_RATE*F24))</f>
        <v/>
      </c>
      <c r="F24" s="42" t="n">
        <v>12.54</v>
      </c>
      <c r="G24" s="42" t="n">
        <v>22</v>
      </c>
      <c r="H24" s="42" t="n">
        <v>10</v>
      </c>
    </row>
    <row r="25">
      <c r="A25" t="inlineStr">
        <is>
          <t>SKU-0024</t>
        </is>
      </c>
      <c r="B25" t="n">
        <v>183</v>
      </c>
      <c r="C25">
        <f>G25*H25+D25</f>
        <v/>
      </c>
      <c r="D25">
        <f>SAFETY_FACTOR*0.30*G25*SQRT(H25)</f>
        <v/>
      </c>
      <c r="E25">
        <f>SQRT(2*ANNUAL_DEMAND_DEFAULT*ORDER_COST/(ANNUAL_HOLDING_RATE*F25))</f>
        <v/>
      </c>
      <c r="F25" t="n">
        <v>22.97</v>
      </c>
      <c r="G25" t="n">
        <v>43</v>
      </c>
      <c r="H25" t="n">
        <v>21</v>
      </c>
    </row>
    <row r="26">
      <c r="A26" s="42" t="inlineStr">
        <is>
          <t>SKU-0025</t>
        </is>
      </c>
      <c r="B26" s="42" t="n">
        <v>228</v>
      </c>
      <c r="C26" s="42">
        <f>G26*H26+D26</f>
        <v/>
      </c>
      <c r="D26" s="42">
        <f>SAFETY_FACTOR*0.30*G26*SQRT(H26)</f>
        <v/>
      </c>
      <c r="E26" s="42">
        <f>SQRT(2*ANNUAL_DEMAND_DEFAULT*ORDER_COST/(ANNUAL_HOLDING_RATE*F26))</f>
        <v/>
      </c>
      <c r="F26" s="42" t="n">
        <v>58.03</v>
      </c>
      <c r="G26" s="42" t="n">
        <v>50</v>
      </c>
      <c r="H26" s="42" t="n">
        <v>7</v>
      </c>
    </row>
    <row r="27">
      <c r="A27" t="inlineStr">
        <is>
          <t>SKU-0026</t>
        </is>
      </c>
      <c r="B27" t="n">
        <v>393</v>
      </c>
      <c r="C27">
        <f>G27*H27+D27</f>
        <v/>
      </c>
      <c r="D27">
        <f>SAFETY_FACTOR*0.30*G27*SQRT(H27)</f>
        <v/>
      </c>
      <c r="E27">
        <f>SQRT(2*ANNUAL_DEMAND_DEFAULT*ORDER_COST/(ANNUAL_HOLDING_RATE*F27))</f>
        <v/>
      </c>
      <c r="F27" t="n">
        <v>53.45</v>
      </c>
      <c r="G27" t="n">
        <v>12</v>
      </c>
      <c r="H27" t="n">
        <v>7</v>
      </c>
    </row>
    <row r="28">
      <c r="A28" s="42" t="inlineStr">
        <is>
          <t>SKU-0027</t>
        </is>
      </c>
      <c r="B28" s="42" t="n">
        <v>271</v>
      </c>
      <c r="C28" s="42">
        <f>G28*H28+D28</f>
        <v/>
      </c>
      <c r="D28" s="42">
        <f>SAFETY_FACTOR*0.30*G28*SQRT(H28)</f>
        <v/>
      </c>
      <c r="E28" s="42">
        <f>SQRT(2*ANNUAL_DEMAND_DEFAULT*ORDER_COST/(ANNUAL_HOLDING_RATE*F28))</f>
        <v/>
      </c>
      <c r="F28" s="42" t="n">
        <v>16.2</v>
      </c>
      <c r="G28" s="42" t="n">
        <v>59</v>
      </c>
      <c r="H28" s="42" t="n">
        <v>5</v>
      </c>
    </row>
    <row r="29">
      <c r="A29" t="inlineStr">
        <is>
          <t>SKU-0028</t>
        </is>
      </c>
      <c r="B29" t="n">
        <v>410</v>
      </c>
      <c r="C29">
        <f>G29*H29+D29</f>
        <v/>
      </c>
      <c r="D29">
        <f>SAFETY_FACTOR*0.30*G29*SQRT(H29)</f>
        <v/>
      </c>
      <c r="E29">
        <f>SQRT(2*ANNUAL_DEMAND_DEFAULT*ORDER_COST/(ANNUAL_HOLDING_RATE*F29))</f>
        <v/>
      </c>
      <c r="F29" t="n">
        <v>70.04000000000001</v>
      </c>
      <c r="G29" t="n">
        <v>34</v>
      </c>
      <c r="H29" t="n">
        <v>5</v>
      </c>
    </row>
    <row r="30">
      <c r="A30" s="42" t="inlineStr">
        <is>
          <t>SKU-0029</t>
        </is>
      </c>
      <c r="B30" s="42" t="n">
        <v>735</v>
      </c>
      <c r="C30" s="42">
        <f>G30*H30+D30</f>
        <v/>
      </c>
      <c r="D30" s="42">
        <f>SAFETY_FACTOR*0.30*G30*SQRT(H30)</f>
        <v/>
      </c>
      <c r="E30" s="42">
        <f>SQRT(2*ANNUAL_DEMAND_DEFAULT*ORDER_COST/(ANNUAL_HOLDING_RATE*F30))</f>
        <v/>
      </c>
      <c r="F30" s="42" t="n">
        <v>77.06999999999999</v>
      </c>
      <c r="G30" s="42" t="n">
        <v>32</v>
      </c>
      <c r="H30" s="42" t="n">
        <v>10</v>
      </c>
    </row>
    <row r="31">
      <c r="A31" t="inlineStr">
        <is>
          <t>SKU-0030</t>
        </is>
      </c>
      <c r="B31" t="n">
        <v>195</v>
      </c>
      <c r="C31">
        <f>G31*H31+D31</f>
        <v/>
      </c>
      <c r="D31">
        <f>SAFETY_FACTOR*0.30*G31*SQRT(H31)</f>
        <v/>
      </c>
      <c r="E31">
        <f>SQRT(2*ANNUAL_DEMAND_DEFAULT*ORDER_COST/(ANNUAL_HOLDING_RATE*F31))</f>
        <v/>
      </c>
      <c r="F31" t="n">
        <v>54.54</v>
      </c>
      <c r="G31" t="n">
        <v>59</v>
      </c>
      <c r="H31" t="n">
        <v>21</v>
      </c>
    </row>
    <row r="32">
      <c r="A32" s="42" t="inlineStr">
        <is>
          <t>SKU-0031</t>
        </is>
      </c>
      <c r="B32" s="42" t="n">
        <v>180</v>
      </c>
      <c r="C32" s="42">
        <f>G32*H32+D32</f>
        <v/>
      </c>
      <c r="D32" s="42">
        <f>SAFETY_FACTOR*0.30*G32*SQRT(H32)</f>
        <v/>
      </c>
      <c r="E32" s="42">
        <f>SQRT(2*ANNUAL_DEMAND_DEFAULT*ORDER_COST/(ANNUAL_HOLDING_RATE*F32))</f>
        <v/>
      </c>
      <c r="F32" s="42" t="n">
        <v>29.68</v>
      </c>
      <c r="G32" s="42" t="n">
        <v>30</v>
      </c>
      <c r="H32" s="42" t="n">
        <v>21</v>
      </c>
    </row>
    <row r="33">
      <c r="A33" t="inlineStr">
        <is>
          <t>SKU-0032</t>
        </is>
      </c>
      <c r="B33" t="n">
        <v>234</v>
      </c>
      <c r="C33">
        <f>G33*H33+D33</f>
        <v/>
      </c>
      <c r="D33">
        <f>SAFETY_FACTOR*0.30*G33*SQRT(H33)</f>
        <v/>
      </c>
      <c r="E33">
        <f>SQRT(2*ANNUAL_DEMAND_DEFAULT*ORDER_COST/(ANNUAL_HOLDING_RATE*F33))</f>
        <v/>
      </c>
      <c r="F33" t="n">
        <v>4.94</v>
      </c>
      <c r="G33" t="n">
        <v>22</v>
      </c>
      <c r="H33" t="n">
        <v>10</v>
      </c>
    </row>
    <row r="34">
      <c r="A34" s="42" t="inlineStr">
        <is>
          <t>SKU-0033</t>
        </is>
      </c>
      <c r="B34" s="42" t="n">
        <v>186</v>
      </c>
      <c r="C34" s="42">
        <f>G34*H34+D34</f>
        <v/>
      </c>
      <c r="D34" s="42">
        <f>SAFETY_FACTOR*0.30*G34*SQRT(H34)</f>
        <v/>
      </c>
      <c r="E34" s="42">
        <f>SQRT(2*ANNUAL_DEMAND_DEFAULT*ORDER_COST/(ANNUAL_HOLDING_RATE*F34))</f>
        <v/>
      </c>
      <c r="F34" s="42" t="n">
        <v>6.12</v>
      </c>
      <c r="G34" s="42" t="n">
        <v>46</v>
      </c>
      <c r="H34" s="42" t="n">
        <v>5</v>
      </c>
    </row>
    <row r="35">
      <c r="A35" t="inlineStr">
        <is>
          <t>SKU-0034</t>
        </is>
      </c>
      <c r="B35" t="n">
        <v>88</v>
      </c>
      <c r="C35">
        <f>G35*H35+D35</f>
        <v/>
      </c>
      <c r="D35">
        <f>SAFETY_FACTOR*0.30*G35*SQRT(H35)</f>
        <v/>
      </c>
      <c r="E35">
        <f>SQRT(2*ANNUAL_DEMAND_DEFAULT*ORDER_COST/(ANNUAL_HOLDING_RATE*F35))</f>
        <v/>
      </c>
      <c r="F35" t="n">
        <v>91.45</v>
      </c>
      <c r="G35" t="n">
        <v>58</v>
      </c>
      <c r="H35" t="n">
        <v>10</v>
      </c>
    </row>
    <row r="36">
      <c r="A36" s="42" t="inlineStr">
        <is>
          <t>SKU-0035</t>
        </is>
      </c>
      <c r="B36" s="42" t="n">
        <v>745</v>
      </c>
      <c r="C36" s="42">
        <f>G36*H36+D36</f>
        <v/>
      </c>
      <c r="D36" s="42">
        <f>SAFETY_FACTOR*0.30*G36*SQRT(H36)</f>
        <v/>
      </c>
      <c r="E36" s="42">
        <f>SQRT(2*ANNUAL_DEMAND_DEFAULT*ORDER_COST/(ANNUAL_HOLDING_RATE*F36))</f>
        <v/>
      </c>
      <c r="F36" s="42" t="n">
        <v>40.38</v>
      </c>
      <c r="G36" s="42" t="n">
        <v>12</v>
      </c>
      <c r="H36" s="42" t="n">
        <v>14</v>
      </c>
    </row>
    <row r="37">
      <c r="A37" t="inlineStr">
        <is>
          <t>SKU-0036</t>
        </is>
      </c>
      <c r="B37" t="n">
        <v>102</v>
      </c>
      <c r="C37">
        <f>G37*H37+D37</f>
        <v/>
      </c>
      <c r="D37">
        <f>SAFETY_FACTOR*0.30*G37*SQRT(H37)</f>
        <v/>
      </c>
      <c r="E37">
        <f>SQRT(2*ANNUAL_DEMAND_DEFAULT*ORDER_COST/(ANNUAL_HOLDING_RATE*F37))</f>
        <v/>
      </c>
      <c r="F37" t="n">
        <v>61.93</v>
      </c>
      <c r="G37" t="n">
        <v>25</v>
      </c>
      <c r="H37" t="n">
        <v>10</v>
      </c>
    </row>
    <row r="38">
      <c r="A38" s="42" t="inlineStr">
        <is>
          <t>SKU-0037</t>
        </is>
      </c>
      <c r="B38" s="42" t="n">
        <v>52</v>
      </c>
      <c r="C38" s="42">
        <f>G38*H38+D38</f>
        <v/>
      </c>
      <c r="D38" s="42">
        <f>SAFETY_FACTOR*0.30*G38*SQRT(H38)</f>
        <v/>
      </c>
      <c r="E38" s="42">
        <f>SQRT(2*ANNUAL_DEMAND_DEFAULT*ORDER_COST/(ANNUAL_HOLDING_RATE*F38))</f>
        <v/>
      </c>
      <c r="F38" s="42" t="n">
        <v>39.34</v>
      </c>
      <c r="G38" s="42" t="n">
        <v>7</v>
      </c>
      <c r="H38" s="42" t="n">
        <v>5</v>
      </c>
    </row>
    <row r="39">
      <c r="A39" t="inlineStr">
        <is>
          <t>SKU-0038</t>
        </is>
      </c>
      <c r="B39" t="n">
        <v>200</v>
      </c>
      <c r="C39">
        <f>G39*H39+D39</f>
        <v/>
      </c>
      <c r="D39">
        <f>SAFETY_FACTOR*0.30*G39*SQRT(H39)</f>
        <v/>
      </c>
      <c r="E39">
        <f>SQRT(2*ANNUAL_DEMAND_DEFAULT*ORDER_COST/(ANNUAL_HOLDING_RATE*F39))</f>
        <v/>
      </c>
      <c r="F39" t="n">
        <v>18.15</v>
      </c>
      <c r="G39" t="n">
        <v>7</v>
      </c>
      <c r="H39" t="n">
        <v>10</v>
      </c>
    </row>
    <row r="40">
      <c r="A40" s="42" t="inlineStr">
        <is>
          <t>SKU-0039</t>
        </is>
      </c>
      <c r="B40" s="42" t="n">
        <v>338</v>
      </c>
      <c r="C40" s="42">
        <f>G40*H40+D40</f>
        <v/>
      </c>
      <c r="D40" s="42">
        <f>SAFETY_FACTOR*0.30*G40*SQRT(H40)</f>
        <v/>
      </c>
      <c r="E40" s="42">
        <f>SQRT(2*ANNUAL_DEMAND_DEFAULT*ORDER_COST/(ANNUAL_HOLDING_RATE*F40))</f>
        <v/>
      </c>
      <c r="F40" s="42" t="n">
        <v>72.97</v>
      </c>
      <c r="G40" s="42" t="n">
        <v>52</v>
      </c>
      <c r="H40" s="42" t="n">
        <v>14</v>
      </c>
    </row>
    <row r="41">
      <c r="A41" t="inlineStr">
        <is>
          <t>SKU-0040</t>
        </is>
      </c>
      <c r="B41" t="n">
        <v>312</v>
      </c>
      <c r="C41">
        <f>G41*H41+D41</f>
        <v/>
      </c>
      <c r="D41">
        <f>SAFETY_FACTOR*0.30*G41*SQRT(H41)</f>
        <v/>
      </c>
      <c r="E41">
        <f>SQRT(2*ANNUAL_DEMAND_DEFAULT*ORDER_COST/(ANNUAL_HOLDING_RATE*F41))</f>
        <v/>
      </c>
      <c r="F41" t="n">
        <v>50.7</v>
      </c>
      <c r="G41" t="n">
        <v>25</v>
      </c>
      <c r="H41" t="n">
        <v>7</v>
      </c>
    </row>
    <row r="42">
      <c r="A42" s="42" t="inlineStr">
        <is>
          <t>SKU-0041</t>
        </is>
      </c>
      <c r="B42" s="42" t="n">
        <v>594</v>
      </c>
      <c r="C42" s="42">
        <f>G42*H42+D42</f>
        <v/>
      </c>
      <c r="D42" s="42">
        <f>SAFETY_FACTOR*0.30*G42*SQRT(H42)</f>
        <v/>
      </c>
      <c r="E42" s="42">
        <f>SQRT(2*ANNUAL_DEMAND_DEFAULT*ORDER_COST/(ANNUAL_HOLDING_RATE*F42))</f>
        <v/>
      </c>
      <c r="F42" s="42" t="n">
        <v>16.09</v>
      </c>
      <c r="G42" s="42" t="n">
        <v>13</v>
      </c>
      <c r="H42" s="42" t="n">
        <v>7</v>
      </c>
    </row>
    <row r="43">
      <c r="A43" t="inlineStr">
        <is>
          <t>SKU-0042</t>
        </is>
      </c>
      <c r="B43" t="n">
        <v>20</v>
      </c>
      <c r="C43">
        <f>G43*H43+D43</f>
        <v/>
      </c>
      <c r="D43">
        <f>SAFETY_FACTOR*0.30*G43*SQRT(H43)</f>
        <v/>
      </c>
      <c r="E43">
        <f>SQRT(2*ANNUAL_DEMAND_DEFAULT*ORDER_COST/(ANNUAL_HOLDING_RATE*F43))</f>
        <v/>
      </c>
      <c r="F43" t="n">
        <v>69.37</v>
      </c>
      <c r="G43" t="n">
        <v>50</v>
      </c>
      <c r="H43" t="n">
        <v>14</v>
      </c>
    </row>
    <row r="44">
      <c r="A44" s="42" t="inlineStr">
        <is>
          <t>SKU-0043</t>
        </is>
      </c>
      <c r="B44" s="42" t="n">
        <v>407</v>
      </c>
      <c r="C44" s="42">
        <f>G44*H44+D44</f>
        <v/>
      </c>
      <c r="D44" s="42">
        <f>SAFETY_FACTOR*0.30*G44*SQRT(H44)</f>
        <v/>
      </c>
      <c r="E44" s="42">
        <f>SQRT(2*ANNUAL_DEMAND_DEFAULT*ORDER_COST/(ANNUAL_HOLDING_RATE*F44))</f>
        <v/>
      </c>
      <c r="F44" s="42" t="n">
        <v>40.99</v>
      </c>
      <c r="G44" s="42" t="n">
        <v>47</v>
      </c>
      <c r="H44" s="42" t="n">
        <v>5</v>
      </c>
    </row>
    <row r="45">
      <c r="A45" t="inlineStr">
        <is>
          <t>SKU-0044</t>
        </is>
      </c>
      <c r="B45" t="n">
        <v>139</v>
      </c>
      <c r="C45">
        <f>G45*H45+D45</f>
        <v/>
      </c>
      <c r="D45">
        <f>SAFETY_FACTOR*0.30*G45*SQRT(H45)</f>
        <v/>
      </c>
      <c r="E45">
        <f>SQRT(2*ANNUAL_DEMAND_DEFAULT*ORDER_COST/(ANNUAL_HOLDING_RATE*F45))</f>
        <v/>
      </c>
      <c r="F45" t="n">
        <v>36.43</v>
      </c>
      <c r="G45" t="n">
        <v>23</v>
      </c>
      <c r="H45" t="n">
        <v>14</v>
      </c>
    </row>
    <row r="46">
      <c r="A46" s="42" t="inlineStr">
        <is>
          <t>SKU-0045</t>
        </is>
      </c>
      <c r="B46" s="42" t="n">
        <v>263</v>
      </c>
      <c r="C46" s="42">
        <f>G46*H46+D46</f>
        <v/>
      </c>
      <c r="D46" s="42">
        <f>SAFETY_FACTOR*0.30*G46*SQRT(H46)</f>
        <v/>
      </c>
      <c r="E46" s="42">
        <f>SQRT(2*ANNUAL_DEMAND_DEFAULT*ORDER_COST/(ANNUAL_HOLDING_RATE*F46))</f>
        <v/>
      </c>
      <c r="F46" s="42" t="n">
        <v>70.81999999999999</v>
      </c>
      <c r="G46" s="42" t="n">
        <v>58</v>
      </c>
      <c r="H46" s="42" t="n">
        <v>7</v>
      </c>
    </row>
    <row r="47">
      <c r="A47" t="inlineStr">
        <is>
          <t>SKU-0046</t>
        </is>
      </c>
      <c r="B47" t="n">
        <v>433</v>
      </c>
      <c r="C47">
        <f>G47*H47+D47</f>
        <v/>
      </c>
      <c r="D47">
        <f>SAFETY_FACTOR*0.30*G47*SQRT(H47)</f>
        <v/>
      </c>
      <c r="E47">
        <f>SQRT(2*ANNUAL_DEMAND_DEFAULT*ORDER_COST/(ANNUAL_HOLDING_RATE*F47))</f>
        <v/>
      </c>
      <c r="F47" t="n">
        <v>37.19</v>
      </c>
      <c r="G47" t="n">
        <v>18</v>
      </c>
      <c r="H47" t="n">
        <v>21</v>
      </c>
    </row>
    <row r="48">
      <c r="A48" s="42" t="inlineStr">
        <is>
          <t>SKU-0047</t>
        </is>
      </c>
      <c r="B48" s="42" t="n">
        <v>1</v>
      </c>
      <c r="C48" s="42">
        <f>G48*H48+D48</f>
        <v/>
      </c>
      <c r="D48" s="42">
        <f>SAFETY_FACTOR*0.30*G48*SQRT(H48)</f>
        <v/>
      </c>
      <c r="E48" s="42">
        <f>SQRT(2*ANNUAL_DEMAND_DEFAULT*ORDER_COST/(ANNUAL_HOLDING_RATE*F48))</f>
        <v/>
      </c>
      <c r="F48" s="42" t="n">
        <v>56.35</v>
      </c>
      <c r="G48" s="42" t="n">
        <v>38</v>
      </c>
      <c r="H48" s="42" t="n">
        <v>21</v>
      </c>
    </row>
    <row r="49">
      <c r="A49" t="inlineStr">
        <is>
          <t>SKU-0048</t>
        </is>
      </c>
      <c r="B49" t="n">
        <v>92</v>
      </c>
      <c r="C49">
        <f>G49*H49+D49</f>
        <v/>
      </c>
      <c r="D49">
        <f>SAFETY_FACTOR*0.30*G49*SQRT(H49)</f>
        <v/>
      </c>
      <c r="E49">
        <f>SQRT(2*ANNUAL_DEMAND_DEFAULT*ORDER_COST/(ANNUAL_HOLDING_RATE*F49))</f>
        <v/>
      </c>
      <c r="F49" t="n">
        <v>15.48</v>
      </c>
      <c r="G49" t="n">
        <v>9</v>
      </c>
      <c r="H49" t="n">
        <v>14</v>
      </c>
    </row>
    <row r="50">
      <c r="A50" s="42" t="inlineStr">
        <is>
          <t>SKU-0049</t>
        </is>
      </c>
      <c r="B50" s="42" t="n">
        <v>467</v>
      </c>
      <c r="C50" s="42">
        <f>G50*H50+D50</f>
        <v/>
      </c>
      <c r="D50" s="42">
        <f>SAFETY_FACTOR*0.30*G50*SQRT(H50)</f>
        <v/>
      </c>
      <c r="E50" s="42">
        <f>SQRT(2*ANNUAL_DEMAND_DEFAULT*ORDER_COST/(ANNUAL_HOLDING_RATE*F50))</f>
        <v/>
      </c>
      <c r="F50" s="42" t="n">
        <v>3.25</v>
      </c>
      <c r="G50" s="42" t="n">
        <v>25</v>
      </c>
      <c r="H50" s="42" t="n">
        <v>21</v>
      </c>
    </row>
    <row r="51">
      <c r="A51" t="inlineStr">
        <is>
          <t>SKU-0050</t>
        </is>
      </c>
      <c r="B51" t="n">
        <v>697</v>
      </c>
      <c r="C51">
        <f>G51*H51+D51</f>
        <v/>
      </c>
      <c r="D51">
        <f>SAFETY_FACTOR*0.30*G51*SQRT(H51)</f>
        <v/>
      </c>
      <c r="E51">
        <f>SQRT(2*ANNUAL_DEMAND_DEFAULT*ORDER_COST/(ANNUAL_HOLDING_RATE*F51))</f>
        <v/>
      </c>
      <c r="F51" t="n">
        <v>62.82</v>
      </c>
      <c r="G51" t="n">
        <v>14</v>
      </c>
      <c r="H51" t="n">
        <v>10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E51"/>
  <sheetViews>
    <sheetView workbookViewId="0">
      <selection activeCell="A1" sqref="A1"/>
    </sheetView>
  </sheetViews>
  <sheetFormatPr baseColWidth="8" defaultRowHeight="15"/>
  <sheetData>
    <row r="1">
      <c r="A1" s="41" t="inlineStr">
        <is>
          <t>SKU</t>
        </is>
      </c>
      <c r="B1" s="41" t="inlineStr">
        <is>
          <t>SuggestedOrderQty</t>
        </is>
      </c>
      <c r="C1" s="41" t="inlineStr">
        <is>
          <t>ExpectedDelivery</t>
        </is>
      </c>
      <c r="D1" s="41" t="inlineStr">
        <is>
          <t>TotalReceiptsLast30d</t>
        </is>
      </c>
      <c r="E1" s="41" t="inlineStr">
        <is>
          <t>TotalIssuesLast30d</t>
        </is>
      </c>
    </row>
    <row r="2">
      <c r="A2" s="42" t="inlineStr">
        <is>
          <t>SKU-0001</t>
        </is>
      </c>
      <c r="B2" s="42">
        <f>MAX(Stock!E2,Stock!C2-Stock!B2)</f>
        <v/>
      </c>
      <c r="C2" s="42">
        <f>TODAY()+Stock!H2</f>
        <v/>
      </c>
      <c r="D2" s="42">
        <f>SUMIFS(Movements!$C$2:$C$201,Movements!$B$2:$B$201,A2,Movements!$D$2:$D$201,"in")</f>
        <v/>
      </c>
      <c r="E2" s="42">
        <f>SUMIFS(Movements!$C$2:$C$201,Movements!$B$2:$B$201,A2,Movements!$D$2:$D$201,"out")</f>
        <v/>
      </c>
    </row>
    <row r="3">
      <c r="A3" t="inlineStr">
        <is>
          <t>SKU-0002</t>
        </is>
      </c>
      <c r="B3">
        <f>MAX(Stock!E3,Stock!C3-Stock!B3)</f>
        <v/>
      </c>
      <c r="C3">
        <f>TODAY()+Stock!H3</f>
        <v/>
      </c>
      <c r="D3">
        <f>SUMIFS(Movements!$C$2:$C$201,Movements!$B$2:$B$201,A3,Movements!$D$2:$D$201,"in")</f>
        <v/>
      </c>
      <c r="E3">
        <f>SUMIFS(Movements!$C$2:$C$201,Movements!$B$2:$B$201,A3,Movements!$D$2:$D$201,"out")</f>
        <v/>
      </c>
    </row>
    <row r="4">
      <c r="A4" s="42" t="inlineStr">
        <is>
          <t>SKU-0003</t>
        </is>
      </c>
      <c r="B4" s="42">
        <f>MAX(Stock!E4,Stock!C4-Stock!B4)</f>
        <v/>
      </c>
      <c r="C4" s="42">
        <f>TODAY()+Stock!H4</f>
        <v/>
      </c>
      <c r="D4" s="42">
        <f>SUMIFS(Movements!$C$2:$C$201,Movements!$B$2:$B$201,A4,Movements!$D$2:$D$201,"in")</f>
        <v/>
      </c>
      <c r="E4" s="42">
        <f>SUMIFS(Movements!$C$2:$C$201,Movements!$B$2:$B$201,A4,Movements!$D$2:$D$201,"out")</f>
        <v/>
      </c>
    </row>
    <row r="5">
      <c r="A5" t="inlineStr">
        <is>
          <t>SKU-0004</t>
        </is>
      </c>
      <c r="B5">
        <f>MAX(Stock!E5,Stock!C5-Stock!B5)</f>
        <v/>
      </c>
      <c r="C5">
        <f>TODAY()+Stock!H5</f>
        <v/>
      </c>
      <c r="D5">
        <f>SUMIFS(Movements!$C$2:$C$201,Movements!$B$2:$B$201,A5,Movements!$D$2:$D$201,"in")</f>
        <v/>
      </c>
      <c r="E5">
        <f>SUMIFS(Movements!$C$2:$C$201,Movements!$B$2:$B$201,A5,Movements!$D$2:$D$201,"out")</f>
        <v/>
      </c>
    </row>
    <row r="6">
      <c r="A6" s="42" t="inlineStr">
        <is>
          <t>SKU-0005</t>
        </is>
      </c>
      <c r="B6" s="42">
        <f>MAX(Stock!E6,Stock!C6-Stock!B6)</f>
        <v/>
      </c>
      <c r="C6" s="42">
        <f>TODAY()+Stock!H6</f>
        <v/>
      </c>
      <c r="D6" s="42">
        <f>SUMIFS(Movements!$C$2:$C$201,Movements!$B$2:$B$201,A6,Movements!$D$2:$D$201,"in")</f>
        <v/>
      </c>
      <c r="E6" s="42">
        <f>SUMIFS(Movements!$C$2:$C$201,Movements!$B$2:$B$201,A6,Movements!$D$2:$D$201,"out")</f>
        <v/>
      </c>
    </row>
    <row r="7">
      <c r="A7" t="inlineStr">
        <is>
          <t>SKU-0006</t>
        </is>
      </c>
      <c r="B7">
        <f>MAX(Stock!E7,Stock!C7-Stock!B7)</f>
        <v/>
      </c>
      <c r="C7">
        <f>TODAY()+Stock!H7</f>
        <v/>
      </c>
      <c r="D7">
        <f>SUMIFS(Movements!$C$2:$C$201,Movements!$B$2:$B$201,A7,Movements!$D$2:$D$201,"in")</f>
        <v/>
      </c>
      <c r="E7">
        <f>SUMIFS(Movements!$C$2:$C$201,Movements!$B$2:$B$201,A7,Movements!$D$2:$D$201,"out")</f>
        <v/>
      </c>
    </row>
    <row r="8">
      <c r="A8" s="42" t="inlineStr">
        <is>
          <t>SKU-0007</t>
        </is>
      </c>
      <c r="B8" s="42">
        <f>MAX(Stock!E8,Stock!C8-Stock!B8)</f>
        <v/>
      </c>
      <c r="C8" s="42">
        <f>TODAY()+Stock!H8</f>
        <v/>
      </c>
      <c r="D8" s="42">
        <f>SUMIFS(Movements!$C$2:$C$201,Movements!$B$2:$B$201,A8,Movements!$D$2:$D$201,"in")</f>
        <v/>
      </c>
      <c r="E8" s="42">
        <f>SUMIFS(Movements!$C$2:$C$201,Movements!$B$2:$B$201,A8,Movements!$D$2:$D$201,"out")</f>
        <v/>
      </c>
    </row>
    <row r="9">
      <c r="A9" t="inlineStr">
        <is>
          <t>SKU-0008</t>
        </is>
      </c>
      <c r="B9">
        <f>MAX(Stock!E9,Stock!C9-Stock!B9)</f>
        <v/>
      </c>
      <c r="C9">
        <f>TODAY()+Stock!H9</f>
        <v/>
      </c>
      <c r="D9">
        <f>SUMIFS(Movements!$C$2:$C$201,Movements!$B$2:$B$201,A9,Movements!$D$2:$D$201,"in")</f>
        <v/>
      </c>
      <c r="E9">
        <f>SUMIFS(Movements!$C$2:$C$201,Movements!$B$2:$B$201,A9,Movements!$D$2:$D$201,"out")</f>
        <v/>
      </c>
    </row>
    <row r="10">
      <c r="A10" s="42" t="inlineStr">
        <is>
          <t>SKU-0009</t>
        </is>
      </c>
      <c r="B10" s="42">
        <f>MAX(Stock!E10,Stock!C10-Stock!B10)</f>
        <v/>
      </c>
      <c r="C10" s="42">
        <f>TODAY()+Stock!H10</f>
        <v/>
      </c>
      <c r="D10" s="42">
        <f>SUMIFS(Movements!$C$2:$C$201,Movements!$B$2:$B$201,A10,Movements!$D$2:$D$201,"in")</f>
        <v/>
      </c>
      <c r="E10" s="42">
        <f>SUMIFS(Movements!$C$2:$C$201,Movements!$B$2:$B$201,A10,Movements!$D$2:$D$201,"out")</f>
        <v/>
      </c>
    </row>
    <row r="11">
      <c r="A11" t="inlineStr">
        <is>
          <t>SKU-0010</t>
        </is>
      </c>
      <c r="B11">
        <f>MAX(Stock!E11,Stock!C11-Stock!B11)</f>
        <v/>
      </c>
      <c r="C11">
        <f>TODAY()+Stock!H11</f>
        <v/>
      </c>
      <c r="D11">
        <f>SUMIFS(Movements!$C$2:$C$201,Movements!$B$2:$B$201,A11,Movements!$D$2:$D$201,"in")</f>
        <v/>
      </c>
      <c r="E11">
        <f>SUMIFS(Movements!$C$2:$C$201,Movements!$B$2:$B$201,A11,Movements!$D$2:$D$201,"out")</f>
        <v/>
      </c>
    </row>
    <row r="12">
      <c r="A12" s="42" t="inlineStr">
        <is>
          <t>SKU-0011</t>
        </is>
      </c>
      <c r="B12" s="42">
        <f>MAX(Stock!E12,Stock!C12-Stock!B12)</f>
        <v/>
      </c>
      <c r="C12" s="42">
        <f>TODAY()+Stock!H12</f>
        <v/>
      </c>
      <c r="D12" s="42">
        <f>SUMIFS(Movements!$C$2:$C$201,Movements!$B$2:$B$201,A12,Movements!$D$2:$D$201,"in")</f>
        <v/>
      </c>
      <c r="E12" s="42">
        <f>SUMIFS(Movements!$C$2:$C$201,Movements!$B$2:$B$201,A12,Movements!$D$2:$D$201,"out")</f>
        <v/>
      </c>
    </row>
    <row r="13">
      <c r="A13" t="inlineStr">
        <is>
          <t>SKU-0012</t>
        </is>
      </c>
      <c r="B13">
        <f>MAX(Stock!E13,Stock!C13-Stock!B13)</f>
        <v/>
      </c>
      <c r="C13">
        <f>TODAY()+Stock!H13</f>
        <v/>
      </c>
      <c r="D13">
        <f>SUMIFS(Movements!$C$2:$C$201,Movements!$B$2:$B$201,A13,Movements!$D$2:$D$201,"in")</f>
        <v/>
      </c>
      <c r="E13">
        <f>SUMIFS(Movements!$C$2:$C$201,Movements!$B$2:$B$201,A13,Movements!$D$2:$D$201,"out")</f>
        <v/>
      </c>
    </row>
    <row r="14">
      <c r="A14" s="42" t="inlineStr">
        <is>
          <t>SKU-0013</t>
        </is>
      </c>
      <c r="B14" s="42">
        <f>MAX(Stock!E14,Stock!C14-Stock!B14)</f>
        <v/>
      </c>
      <c r="C14" s="42">
        <f>TODAY()+Stock!H14</f>
        <v/>
      </c>
      <c r="D14" s="42">
        <f>SUMIFS(Movements!$C$2:$C$201,Movements!$B$2:$B$201,A14,Movements!$D$2:$D$201,"in")</f>
        <v/>
      </c>
      <c r="E14" s="42">
        <f>SUMIFS(Movements!$C$2:$C$201,Movements!$B$2:$B$201,A14,Movements!$D$2:$D$201,"out")</f>
        <v/>
      </c>
    </row>
    <row r="15">
      <c r="A15" t="inlineStr">
        <is>
          <t>SKU-0014</t>
        </is>
      </c>
      <c r="B15">
        <f>MAX(Stock!E15,Stock!C15-Stock!B15)</f>
        <v/>
      </c>
      <c r="C15">
        <f>TODAY()+Stock!H15</f>
        <v/>
      </c>
      <c r="D15">
        <f>SUMIFS(Movements!$C$2:$C$201,Movements!$B$2:$B$201,A15,Movements!$D$2:$D$201,"in")</f>
        <v/>
      </c>
      <c r="E15">
        <f>SUMIFS(Movements!$C$2:$C$201,Movements!$B$2:$B$201,A15,Movements!$D$2:$D$201,"out")</f>
        <v/>
      </c>
    </row>
    <row r="16">
      <c r="A16" s="42" t="inlineStr">
        <is>
          <t>SKU-0015</t>
        </is>
      </c>
      <c r="B16" s="42">
        <f>MAX(Stock!E16,Stock!C16-Stock!B16)</f>
        <v/>
      </c>
      <c r="C16" s="42">
        <f>TODAY()+Stock!H16</f>
        <v/>
      </c>
      <c r="D16" s="42">
        <f>SUMIFS(Movements!$C$2:$C$201,Movements!$B$2:$B$201,A16,Movements!$D$2:$D$201,"in")</f>
        <v/>
      </c>
      <c r="E16" s="42">
        <f>SUMIFS(Movements!$C$2:$C$201,Movements!$B$2:$B$201,A16,Movements!$D$2:$D$201,"out")</f>
        <v/>
      </c>
    </row>
    <row r="17">
      <c r="A17" t="inlineStr">
        <is>
          <t>SKU-0016</t>
        </is>
      </c>
      <c r="B17">
        <f>MAX(Stock!E17,Stock!C17-Stock!B17)</f>
        <v/>
      </c>
      <c r="C17">
        <f>TODAY()+Stock!H17</f>
        <v/>
      </c>
      <c r="D17">
        <f>SUMIFS(Movements!$C$2:$C$201,Movements!$B$2:$B$201,A17,Movements!$D$2:$D$201,"in")</f>
        <v/>
      </c>
      <c r="E17">
        <f>SUMIFS(Movements!$C$2:$C$201,Movements!$B$2:$B$201,A17,Movements!$D$2:$D$201,"out")</f>
        <v/>
      </c>
    </row>
    <row r="18">
      <c r="A18" s="42" t="inlineStr">
        <is>
          <t>SKU-0017</t>
        </is>
      </c>
      <c r="B18" s="42">
        <f>MAX(Stock!E18,Stock!C18-Stock!B18)</f>
        <v/>
      </c>
      <c r="C18" s="42">
        <f>TODAY()+Stock!H18</f>
        <v/>
      </c>
      <c r="D18" s="42">
        <f>SUMIFS(Movements!$C$2:$C$201,Movements!$B$2:$B$201,A18,Movements!$D$2:$D$201,"in")</f>
        <v/>
      </c>
      <c r="E18" s="42">
        <f>SUMIFS(Movements!$C$2:$C$201,Movements!$B$2:$B$201,A18,Movements!$D$2:$D$201,"out")</f>
        <v/>
      </c>
    </row>
    <row r="19">
      <c r="A19" t="inlineStr">
        <is>
          <t>SKU-0018</t>
        </is>
      </c>
      <c r="B19">
        <f>MAX(Stock!E19,Stock!C19-Stock!B19)</f>
        <v/>
      </c>
      <c r="C19">
        <f>TODAY()+Stock!H19</f>
        <v/>
      </c>
      <c r="D19">
        <f>SUMIFS(Movements!$C$2:$C$201,Movements!$B$2:$B$201,A19,Movements!$D$2:$D$201,"in")</f>
        <v/>
      </c>
      <c r="E19">
        <f>SUMIFS(Movements!$C$2:$C$201,Movements!$B$2:$B$201,A19,Movements!$D$2:$D$201,"out")</f>
        <v/>
      </c>
    </row>
    <row r="20">
      <c r="A20" s="42" t="inlineStr">
        <is>
          <t>SKU-0019</t>
        </is>
      </c>
      <c r="B20" s="42">
        <f>MAX(Stock!E20,Stock!C20-Stock!B20)</f>
        <v/>
      </c>
      <c r="C20" s="42">
        <f>TODAY()+Stock!H20</f>
        <v/>
      </c>
      <c r="D20" s="42">
        <f>SUMIFS(Movements!$C$2:$C$201,Movements!$B$2:$B$201,A20,Movements!$D$2:$D$201,"in")</f>
        <v/>
      </c>
      <c r="E20" s="42">
        <f>SUMIFS(Movements!$C$2:$C$201,Movements!$B$2:$B$201,A20,Movements!$D$2:$D$201,"out")</f>
        <v/>
      </c>
    </row>
    <row r="21">
      <c r="A21" t="inlineStr">
        <is>
          <t>SKU-0020</t>
        </is>
      </c>
      <c r="B21">
        <f>MAX(Stock!E21,Stock!C21-Stock!B21)</f>
        <v/>
      </c>
      <c r="C21">
        <f>TODAY()+Stock!H21</f>
        <v/>
      </c>
      <c r="D21">
        <f>SUMIFS(Movements!$C$2:$C$201,Movements!$B$2:$B$201,A21,Movements!$D$2:$D$201,"in")</f>
        <v/>
      </c>
      <c r="E21">
        <f>SUMIFS(Movements!$C$2:$C$201,Movements!$B$2:$B$201,A21,Movements!$D$2:$D$201,"out")</f>
        <v/>
      </c>
    </row>
    <row r="22">
      <c r="A22" s="42" t="inlineStr">
        <is>
          <t>SKU-0021</t>
        </is>
      </c>
      <c r="B22" s="42">
        <f>MAX(Stock!E22,Stock!C22-Stock!B22)</f>
        <v/>
      </c>
      <c r="C22" s="42">
        <f>TODAY()+Stock!H22</f>
        <v/>
      </c>
      <c r="D22" s="42">
        <f>SUMIFS(Movements!$C$2:$C$201,Movements!$B$2:$B$201,A22,Movements!$D$2:$D$201,"in")</f>
        <v/>
      </c>
      <c r="E22" s="42">
        <f>SUMIFS(Movements!$C$2:$C$201,Movements!$B$2:$B$201,A22,Movements!$D$2:$D$201,"out")</f>
        <v/>
      </c>
    </row>
    <row r="23">
      <c r="A23" t="inlineStr">
        <is>
          <t>SKU-0022</t>
        </is>
      </c>
      <c r="B23">
        <f>MAX(Stock!E23,Stock!C23-Stock!B23)</f>
        <v/>
      </c>
      <c r="C23">
        <f>TODAY()+Stock!H23</f>
        <v/>
      </c>
      <c r="D23">
        <f>SUMIFS(Movements!$C$2:$C$201,Movements!$B$2:$B$201,A23,Movements!$D$2:$D$201,"in")</f>
        <v/>
      </c>
      <c r="E23">
        <f>SUMIFS(Movements!$C$2:$C$201,Movements!$B$2:$B$201,A23,Movements!$D$2:$D$201,"out")</f>
        <v/>
      </c>
    </row>
    <row r="24">
      <c r="A24" s="42" t="inlineStr">
        <is>
          <t>SKU-0023</t>
        </is>
      </c>
      <c r="B24" s="42">
        <f>MAX(Stock!E24,Stock!C24-Stock!B24)</f>
        <v/>
      </c>
      <c r="C24" s="42">
        <f>TODAY()+Stock!H24</f>
        <v/>
      </c>
      <c r="D24" s="42">
        <f>SUMIFS(Movements!$C$2:$C$201,Movements!$B$2:$B$201,A24,Movements!$D$2:$D$201,"in")</f>
        <v/>
      </c>
      <c r="E24" s="42">
        <f>SUMIFS(Movements!$C$2:$C$201,Movements!$B$2:$B$201,A24,Movements!$D$2:$D$201,"out")</f>
        <v/>
      </c>
    </row>
    <row r="25">
      <c r="A25" t="inlineStr">
        <is>
          <t>SKU-0024</t>
        </is>
      </c>
      <c r="B25">
        <f>MAX(Stock!E25,Stock!C25-Stock!B25)</f>
        <v/>
      </c>
      <c r="C25">
        <f>TODAY()+Stock!H25</f>
        <v/>
      </c>
      <c r="D25">
        <f>SUMIFS(Movements!$C$2:$C$201,Movements!$B$2:$B$201,A25,Movements!$D$2:$D$201,"in")</f>
        <v/>
      </c>
      <c r="E25">
        <f>SUMIFS(Movements!$C$2:$C$201,Movements!$B$2:$B$201,A25,Movements!$D$2:$D$201,"out")</f>
        <v/>
      </c>
    </row>
    <row r="26">
      <c r="A26" s="42" t="inlineStr">
        <is>
          <t>SKU-0025</t>
        </is>
      </c>
      <c r="B26" s="42">
        <f>MAX(Stock!E26,Stock!C26-Stock!B26)</f>
        <v/>
      </c>
      <c r="C26" s="42">
        <f>TODAY()+Stock!H26</f>
        <v/>
      </c>
      <c r="D26" s="42">
        <f>SUMIFS(Movements!$C$2:$C$201,Movements!$B$2:$B$201,A26,Movements!$D$2:$D$201,"in")</f>
        <v/>
      </c>
      <c r="E26" s="42">
        <f>SUMIFS(Movements!$C$2:$C$201,Movements!$B$2:$B$201,A26,Movements!$D$2:$D$201,"out")</f>
        <v/>
      </c>
    </row>
    <row r="27">
      <c r="A27" t="inlineStr">
        <is>
          <t>SKU-0026</t>
        </is>
      </c>
      <c r="B27">
        <f>MAX(Stock!E27,Stock!C27-Stock!B27)</f>
        <v/>
      </c>
      <c r="C27">
        <f>TODAY()+Stock!H27</f>
        <v/>
      </c>
      <c r="D27">
        <f>SUMIFS(Movements!$C$2:$C$201,Movements!$B$2:$B$201,A27,Movements!$D$2:$D$201,"in")</f>
        <v/>
      </c>
      <c r="E27">
        <f>SUMIFS(Movements!$C$2:$C$201,Movements!$B$2:$B$201,A27,Movements!$D$2:$D$201,"out")</f>
        <v/>
      </c>
    </row>
    <row r="28">
      <c r="A28" s="42" t="inlineStr">
        <is>
          <t>SKU-0027</t>
        </is>
      </c>
      <c r="B28" s="42">
        <f>MAX(Stock!E28,Stock!C28-Stock!B28)</f>
        <v/>
      </c>
      <c r="C28" s="42">
        <f>TODAY()+Stock!H28</f>
        <v/>
      </c>
      <c r="D28" s="42">
        <f>SUMIFS(Movements!$C$2:$C$201,Movements!$B$2:$B$201,A28,Movements!$D$2:$D$201,"in")</f>
        <v/>
      </c>
      <c r="E28" s="42">
        <f>SUMIFS(Movements!$C$2:$C$201,Movements!$B$2:$B$201,A28,Movements!$D$2:$D$201,"out")</f>
        <v/>
      </c>
    </row>
    <row r="29">
      <c r="A29" t="inlineStr">
        <is>
          <t>SKU-0028</t>
        </is>
      </c>
      <c r="B29">
        <f>MAX(Stock!E29,Stock!C29-Stock!B29)</f>
        <v/>
      </c>
      <c r="C29">
        <f>TODAY()+Stock!H29</f>
        <v/>
      </c>
      <c r="D29">
        <f>SUMIFS(Movements!$C$2:$C$201,Movements!$B$2:$B$201,A29,Movements!$D$2:$D$201,"in")</f>
        <v/>
      </c>
      <c r="E29">
        <f>SUMIFS(Movements!$C$2:$C$201,Movements!$B$2:$B$201,A29,Movements!$D$2:$D$201,"out")</f>
        <v/>
      </c>
    </row>
    <row r="30">
      <c r="A30" s="42" t="inlineStr">
        <is>
          <t>SKU-0029</t>
        </is>
      </c>
      <c r="B30" s="42">
        <f>MAX(Stock!E30,Stock!C30-Stock!B30)</f>
        <v/>
      </c>
      <c r="C30" s="42">
        <f>TODAY()+Stock!H30</f>
        <v/>
      </c>
      <c r="D30" s="42">
        <f>SUMIFS(Movements!$C$2:$C$201,Movements!$B$2:$B$201,A30,Movements!$D$2:$D$201,"in")</f>
        <v/>
      </c>
      <c r="E30" s="42">
        <f>SUMIFS(Movements!$C$2:$C$201,Movements!$B$2:$B$201,A30,Movements!$D$2:$D$201,"out")</f>
        <v/>
      </c>
    </row>
    <row r="31">
      <c r="A31" t="inlineStr">
        <is>
          <t>SKU-0030</t>
        </is>
      </c>
      <c r="B31">
        <f>MAX(Stock!E31,Stock!C31-Stock!B31)</f>
        <v/>
      </c>
      <c r="C31">
        <f>TODAY()+Stock!H31</f>
        <v/>
      </c>
      <c r="D31">
        <f>SUMIFS(Movements!$C$2:$C$201,Movements!$B$2:$B$201,A31,Movements!$D$2:$D$201,"in")</f>
        <v/>
      </c>
      <c r="E31">
        <f>SUMIFS(Movements!$C$2:$C$201,Movements!$B$2:$B$201,A31,Movements!$D$2:$D$201,"out")</f>
        <v/>
      </c>
    </row>
    <row r="32">
      <c r="A32" s="42" t="inlineStr">
        <is>
          <t>SKU-0031</t>
        </is>
      </c>
      <c r="B32" s="42">
        <f>MAX(Stock!E32,Stock!C32-Stock!B32)</f>
        <v/>
      </c>
      <c r="C32" s="42">
        <f>TODAY()+Stock!H32</f>
        <v/>
      </c>
      <c r="D32" s="42">
        <f>SUMIFS(Movements!$C$2:$C$201,Movements!$B$2:$B$201,A32,Movements!$D$2:$D$201,"in")</f>
        <v/>
      </c>
      <c r="E32" s="42">
        <f>SUMIFS(Movements!$C$2:$C$201,Movements!$B$2:$B$201,A32,Movements!$D$2:$D$201,"out")</f>
        <v/>
      </c>
    </row>
    <row r="33">
      <c r="A33" t="inlineStr">
        <is>
          <t>SKU-0032</t>
        </is>
      </c>
      <c r="B33">
        <f>MAX(Stock!E33,Stock!C33-Stock!B33)</f>
        <v/>
      </c>
      <c r="C33">
        <f>TODAY()+Stock!H33</f>
        <v/>
      </c>
      <c r="D33">
        <f>SUMIFS(Movements!$C$2:$C$201,Movements!$B$2:$B$201,A33,Movements!$D$2:$D$201,"in")</f>
        <v/>
      </c>
      <c r="E33">
        <f>SUMIFS(Movements!$C$2:$C$201,Movements!$B$2:$B$201,A33,Movements!$D$2:$D$201,"out")</f>
        <v/>
      </c>
    </row>
    <row r="34">
      <c r="A34" s="42" t="inlineStr">
        <is>
          <t>SKU-0033</t>
        </is>
      </c>
      <c r="B34" s="42">
        <f>MAX(Stock!E34,Stock!C34-Stock!B34)</f>
        <v/>
      </c>
      <c r="C34" s="42">
        <f>TODAY()+Stock!H34</f>
        <v/>
      </c>
      <c r="D34" s="42">
        <f>SUMIFS(Movements!$C$2:$C$201,Movements!$B$2:$B$201,A34,Movements!$D$2:$D$201,"in")</f>
        <v/>
      </c>
      <c r="E34" s="42">
        <f>SUMIFS(Movements!$C$2:$C$201,Movements!$B$2:$B$201,A34,Movements!$D$2:$D$201,"out")</f>
        <v/>
      </c>
    </row>
    <row r="35">
      <c r="A35" t="inlineStr">
        <is>
          <t>SKU-0034</t>
        </is>
      </c>
      <c r="B35">
        <f>MAX(Stock!E35,Stock!C35-Stock!B35)</f>
        <v/>
      </c>
      <c r="C35">
        <f>TODAY()+Stock!H35</f>
        <v/>
      </c>
      <c r="D35">
        <f>SUMIFS(Movements!$C$2:$C$201,Movements!$B$2:$B$201,A35,Movements!$D$2:$D$201,"in")</f>
        <v/>
      </c>
      <c r="E35">
        <f>SUMIFS(Movements!$C$2:$C$201,Movements!$B$2:$B$201,A35,Movements!$D$2:$D$201,"out")</f>
        <v/>
      </c>
    </row>
    <row r="36">
      <c r="A36" s="42" t="inlineStr">
        <is>
          <t>SKU-0035</t>
        </is>
      </c>
      <c r="B36" s="42">
        <f>MAX(Stock!E36,Stock!C36-Stock!B36)</f>
        <v/>
      </c>
      <c r="C36" s="42">
        <f>TODAY()+Stock!H36</f>
        <v/>
      </c>
      <c r="D36" s="42">
        <f>SUMIFS(Movements!$C$2:$C$201,Movements!$B$2:$B$201,A36,Movements!$D$2:$D$201,"in")</f>
        <v/>
      </c>
      <c r="E36" s="42">
        <f>SUMIFS(Movements!$C$2:$C$201,Movements!$B$2:$B$201,A36,Movements!$D$2:$D$201,"out")</f>
        <v/>
      </c>
    </row>
    <row r="37">
      <c r="A37" t="inlineStr">
        <is>
          <t>SKU-0036</t>
        </is>
      </c>
      <c r="B37">
        <f>MAX(Stock!E37,Stock!C37-Stock!B37)</f>
        <v/>
      </c>
      <c r="C37">
        <f>TODAY()+Stock!H37</f>
        <v/>
      </c>
      <c r="D37">
        <f>SUMIFS(Movements!$C$2:$C$201,Movements!$B$2:$B$201,A37,Movements!$D$2:$D$201,"in")</f>
        <v/>
      </c>
      <c r="E37">
        <f>SUMIFS(Movements!$C$2:$C$201,Movements!$B$2:$B$201,A37,Movements!$D$2:$D$201,"out")</f>
        <v/>
      </c>
    </row>
    <row r="38">
      <c r="A38" s="42" t="inlineStr">
        <is>
          <t>SKU-0037</t>
        </is>
      </c>
      <c r="B38" s="42">
        <f>MAX(Stock!E38,Stock!C38-Stock!B38)</f>
        <v/>
      </c>
      <c r="C38" s="42">
        <f>TODAY()+Stock!H38</f>
        <v/>
      </c>
      <c r="D38" s="42">
        <f>SUMIFS(Movements!$C$2:$C$201,Movements!$B$2:$B$201,A38,Movements!$D$2:$D$201,"in")</f>
        <v/>
      </c>
      <c r="E38" s="42">
        <f>SUMIFS(Movements!$C$2:$C$201,Movements!$B$2:$B$201,A38,Movements!$D$2:$D$201,"out")</f>
        <v/>
      </c>
    </row>
    <row r="39">
      <c r="A39" t="inlineStr">
        <is>
          <t>SKU-0038</t>
        </is>
      </c>
      <c r="B39">
        <f>MAX(Stock!E39,Stock!C39-Stock!B39)</f>
        <v/>
      </c>
      <c r="C39">
        <f>TODAY()+Stock!H39</f>
        <v/>
      </c>
      <c r="D39">
        <f>SUMIFS(Movements!$C$2:$C$201,Movements!$B$2:$B$201,A39,Movements!$D$2:$D$201,"in")</f>
        <v/>
      </c>
      <c r="E39">
        <f>SUMIFS(Movements!$C$2:$C$201,Movements!$B$2:$B$201,A39,Movements!$D$2:$D$201,"out")</f>
        <v/>
      </c>
    </row>
    <row r="40">
      <c r="A40" s="42" t="inlineStr">
        <is>
          <t>SKU-0039</t>
        </is>
      </c>
      <c r="B40" s="42">
        <f>MAX(Stock!E40,Stock!C40-Stock!B40)</f>
        <v/>
      </c>
      <c r="C40" s="42">
        <f>TODAY()+Stock!H40</f>
        <v/>
      </c>
      <c r="D40" s="42">
        <f>SUMIFS(Movements!$C$2:$C$201,Movements!$B$2:$B$201,A40,Movements!$D$2:$D$201,"in")</f>
        <v/>
      </c>
      <c r="E40" s="42">
        <f>SUMIFS(Movements!$C$2:$C$201,Movements!$B$2:$B$201,A40,Movements!$D$2:$D$201,"out")</f>
        <v/>
      </c>
    </row>
    <row r="41">
      <c r="A41" t="inlineStr">
        <is>
          <t>SKU-0040</t>
        </is>
      </c>
      <c r="B41">
        <f>MAX(Stock!E41,Stock!C41-Stock!B41)</f>
        <v/>
      </c>
      <c r="C41">
        <f>TODAY()+Stock!H41</f>
        <v/>
      </c>
      <c r="D41">
        <f>SUMIFS(Movements!$C$2:$C$201,Movements!$B$2:$B$201,A41,Movements!$D$2:$D$201,"in")</f>
        <v/>
      </c>
      <c r="E41">
        <f>SUMIFS(Movements!$C$2:$C$201,Movements!$B$2:$B$201,A41,Movements!$D$2:$D$201,"out")</f>
        <v/>
      </c>
    </row>
    <row r="42">
      <c r="A42" s="42" t="inlineStr">
        <is>
          <t>SKU-0041</t>
        </is>
      </c>
      <c r="B42" s="42">
        <f>MAX(Stock!E42,Stock!C42-Stock!B42)</f>
        <v/>
      </c>
      <c r="C42" s="42">
        <f>TODAY()+Stock!H42</f>
        <v/>
      </c>
      <c r="D42" s="42">
        <f>SUMIFS(Movements!$C$2:$C$201,Movements!$B$2:$B$201,A42,Movements!$D$2:$D$201,"in")</f>
        <v/>
      </c>
      <c r="E42" s="42">
        <f>SUMIFS(Movements!$C$2:$C$201,Movements!$B$2:$B$201,A42,Movements!$D$2:$D$201,"out")</f>
        <v/>
      </c>
    </row>
    <row r="43">
      <c r="A43" t="inlineStr">
        <is>
          <t>SKU-0042</t>
        </is>
      </c>
      <c r="B43">
        <f>MAX(Stock!E43,Stock!C43-Stock!B43)</f>
        <v/>
      </c>
      <c r="C43">
        <f>TODAY()+Stock!H43</f>
        <v/>
      </c>
      <c r="D43">
        <f>SUMIFS(Movements!$C$2:$C$201,Movements!$B$2:$B$201,A43,Movements!$D$2:$D$201,"in")</f>
        <v/>
      </c>
      <c r="E43">
        <f>SUMIFS(Movements!$C$2:$C$201,Movements!$B$2:$B$201,A43,Movements!$D$2:$D$201,"out")</f>
        <v/>
      </c>
    </row>
    <row r="44">
      <c r="A44" s="42" t="inlineStr">
        <is>
          <t>SKU-0043</t>
        </is>
      </c>
      <c r="B44" s="42">
        <f>MAX(Stock!E44,Stock!C44-Stock!B44)</f>
        <v/>
      </c>
      <c r="C44" s="42">
        <f>TODAY()+Stock!H44</f>
        <v/>
      </c>
      <c r="D44" s="42">
        <f>SUMIFS(Movements!$C$2:$C$201,Movements!$B$2:$B$201,A44,Movements!$D$2:$D$201,"in")</f>
        <v/>
      </c>
      <c r="E44" s="42">
        <f>SUMIFS(Movements!$C$2:$C$201,Movements!$B$2:$B$201,A44,Movements!$D$2:$D$201,"out")</f>
        <v/>
      </c>
    </row>
    <row r="45">
      <c r="A45" t="inlineStr">
        <is>
          <t>SKU-0044</t>
        </is>
      </c>
      <c r="B45">
        <f>MAX(Stock!E45,Stock!C45-Stock!B45)</f>
        <v/>
      </c>
      <c r="C45">
        <f>TODAY()+Stock!H45</f>
        <v/>
      </c>
      <c r="D45">
        <f>SUMIFS(Movements!$C$2:$C$201,Movements!$B$2:$B$201,A45,Movements!$D$2:$D$201,"in")</f>
        <v/>
      </c>
      <c r="E45">
        <f>SUMIFS(Movements!$C$2:$C$201,Movements!$B$2:$B$201,A45,Movements!$D$2:$D$201,"out")</f>
        <v/>
      </c>
    </row>
    <row r="46">
      <c r="A46" s="42" t="inlineStr">
        <is>
          <t>SKU-0045</t>
        </is>
      </c>
      <c r="B46" s="42">
        <f>MAX(Stock!E46,Stock!C46-Stock!B46)</f>
        <v/>
      </c>
      <c r="C46" s="42">
        <f>TODAY()+Stock!H46</f>
        <v/>
      </c>
      <c r="D46" s="42">
        <f>SUMIFS(Movements!$C$2:$C$201,Movements!$B$2:$B$201,A46,Movements!$D$2:$D$201,"in")</f>
        <v/>
      </c>
      <c r="E46" s="42">
        <f>SUMIFS(Movements!$C$2:$C$201,Movements!$B$2:$B$201,A46,Movements!$D$2:$D$201,"out")</f>
        <v/>
      </c>
    </row>
    <row r="47">
      <c r="A47" t="inlineStr">
        <is>
          <t>SKU-0046</t>
        </is>
      </c>
      <c r="B47">
        <f>MAX(Stock!E47,Stock!C47-Stock!B47)</f>
        <v/>
      </c>
      <c r="C47">
        <f>TODAY()+Stock!H47</f>
        <v/>
      </c>
      <c r="D47">
        <f>SUMIFS(Movements!$C$2:$C$201,Movements!$B$2:$B$201,A47,Movements!$D$2:$D$201,"in")</f>
        <v/>
      </c>
      <c r="E47">
        <f>SUMIFS(Movements!$C$2:$C$201,Movements!$B$2:$B$201,A47,Movements!$D$2:$D$201,"out")</f>
        <v/>
      </c>
    </row>
    <row r="48">
      <c r="A48" s="42" t="inlineStr">
        <is>
          <t>SKU-0047</t>
        </is>
      </c>
      <c r="B48" s="42">
        <f>MAX(Stock!E48,Stock!C48-Stock!B48)</f>
        <v/>
      </c>
      <c r="C48" s="42">
        <f>TODAY()+Stock!H48</f>
        <v/>
      </c>
      <c r="D48" s="42">
        <f>SUMIFS(Movements!$C$2:$C$201,Movements!$B$2:$B$201,A48,Movements!$D$2:$D$201,"in")</f>
        <v/>
      </c>
      <c r="E48" s="42">
        <f>SUMIFS(Movements!$C$2:$C$201,Movements!$B$2:$B$201,A48,Movements!$D$2:$D$201,"out")</f>
        <v/>
      </c>
    </row>
    <row r="49">
      <c r="A49" t="inlineStr">
        <is>
          <t>SKU-0048</t>
        </is>
      </c>
      <c r="B49">
        <f>MAX(Stock!E49,Stock!C49-Stock!B49)</f>
        <v/>
      </c>
      <c r="C49">
        <f>TODAY()+Stock!H49</f>
        <v/>
      </c>
      <c r="D49">
        <f>SUMIFS(Movements!$C$2:$C$201,Movements!$B$2:$B$201,A49,Movements!$D$2:$D$201,"in")</f>
        <v/>
      </c>
      <c r="E49">
        <f>SUMIFS(Movements!$C$2:$C$201,Movements!$B$2:$B$201,A49,Movements!$D$2:$D$201,"out")</f>
        <v/>
      </c>
    </row>
    <row r="50">
      <c r="A50" s="42" t="inlineStr">
        <is>
          <t>SKU-0049</t>
        </is>
      </c>
      <c r="B50" s="42">
        <f>MAX(Stock!E50,Stock!C50-Stock!B50)</f>
        <v/>
      </c>
      <c r="C50" s="42">
        <f>TODAY()+Stock!H50</f>
        <v/>
      </c>
      <c r="D50" s="42">
        <f>SUMIFS(Movements!$C$2:$C$201,Movements!$B$2:$B$201,A50,Movements!$D$2:$D$201,"in")</f>
        <v/>
      </c>
      <c r="E50" s="42">
        <f>SUMIFS(Movements!$C$2:$C$201,Movements!$B$2:$B$201,A50,Movements!$D$2:$D$201,"out")</f>
        <v/>
      </c>
    </row>
    <row r="51">
      <c r="A51" t="inlineStr">
        <is>
          <t>SKU-0050</t>
        </is>
      </c>
      <c r="B51">
        <f>MAX(Stock!E51,Stock!C51-Stock!B51)</f>
        <v/>
      </c>
      <c r="C51">
        <f>TODAY()+Stock!H51</f>
        <v/>
      </c>
      <c r="D51">
        <f>SUMIFS(Movements!$C$2:$C$201,Movements!$B$2:$B$201,A51,Movements!$D$2:$D$201,"in")</f>
        <v/>
      </c>
      <c r="E51">
        <f>SUMIFS(Movements!$C$2:$C$201,Movements!$B$2:$B$201,A51,Movements!$D$2:$D$201,"out")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11"/>
  <sheetViews>
    <sheetView workbookViewId="0">
      <selection activeCell="A1" sqref="A1"/>
    </sheetView>
  </sheetViews>
  <sheetFormatPr baseColWidth="8" defaultRowHeight="15"/>
  <sheetData>
    <row r="1">
      <c r="A1" s="41" t="inlineStr">
        <is>
          <t>SupplierID</t>
        </is>
      </c>
      <c r="B1" s="41" t="inlineStr">
        <is>
          <t>LeadTimeDays</t>
        </is>
      </c>
      <c r="C1" s="41" t="inlineStr">
        <is>
          <t>ReliabilityScore</t>
        </is>
      </c>
      <c r="D1" s="41" t="inlineStr">
        <is>
          <t>MOQ</t>
        </is>
      </c>
    </row>
    <row r="2">
      <c r="A2" s="42" t="inlineStr">
        <is>
          <t>S001</t>
        </is>
      </c>
      <c r="B2" s="42" t="n">
        <v>7</v>
      </c>
      <c r="C2" s="42" t="n">
        <v>0.95</v>
      </c>
      <c r="D2" s="42" t="n">
        <v>100</v>
      </c>
    </row>
    <row r="3">
      <c r="A3" t="inlineStr">
        <is>
          <t>S002</t>
        </is>
      </c>
      <c r="B3" t="n">
        <v>14</v>
      </c>
      <c r="C3" t="n">
        <v>0.9</v>
      </c>
      <c r="D3" t="n">
        <v>250</v>
      </c>
    </row>
    <row r="4">
      <c r="A4" s="42" t="inlineStr">
        <is>
          <t>S003</t>
        </is>
      </c>
      <c r="B4" s="42" t="n">
        <v>21</v>
      </c>
      <c r="C4" s="42" t="n">
        <v>0.85</v>
      </c>
      <c r="D4" s="42" t="n">
        <v>500</v>
      </c>
    </row>
    <row r="5">
      <c r="A5" t="inlineStr">
        <is>
          <t>S004</t>
        </is>
      </c>
      <c r="B5" t="n">
        <v>10</v>
      </c>
      <c r="C5" t="n">
        <v>0.92</v>
      </c>
      <c r="D5" t="n">
        <v>50</v>
      </c>
    </row>
    <row r="6">
      <c r="A6" s="42" t="inlineStr">
        <is>
          <t>S005</t>
        </is>
      </c>
      <c r="B6" s="42" t="n">
        <v>5</v>
      </c>
      <c r="C6" s="42" t="n">
        <v>0.97</v>
      </c>
      <c r="D6" s="42" t="n">
        <v>200</v>
      </c>
    </row>
    <row r="7">
      <c r="A7" t="inlineStr">
        <is>
          <t>S006</t>
        </is>
      </c>
      <c r="B7" t="n">
        <v>30</v>
      </c>
      <c r="C7" t="n">
        <v>0.8</v>
      </c>
      <c r="D7" t="n">
        <v>1000</v>
      </c>
    </row>
    <row r="8">
      <c r="A8" s="42" t="inlineStr">
        <is>
          <t>S007</t>
        </is>
      </c>
      <c r="B8" s="42" t="n">
        <v>12</v>
      </c>
      <c r="C8" s="42" t="n">
        <v>0.91</v>
      </c>
      <c r="D8" s="42" t="n">
        <v>150</v>
      </c>
    </row>
    <row r="9">
      <c r="A9" t="inlineStr">
        <is>
          <t>S008</t>
        </is>
      </c>
      <c r="B9" t="n">
        <v>7</v>
      </c>
      <c r="C9" t="n">
        <v>0.9399999999999999</v>
      </c>
      <c r="D9" t="n">
        <v>75</v>
      </c>
    </row>
    <row r="10">
      <c r="A10" s="42" t="inlineStr">
        <is>
          <t>S009</t>
        </is>
      </c>
      <c r="B10" s="42" t="n">
        <v>18</v>
      </c>
      <c r="C10" s="42" t="n">
        <v>0.88</v>
      </c>
      <c r="D10" s="42" t="n">
        <v>300</v>
      </c>
    </row>
    <row r="11">
      <c r="A11" t="inlineStr">
        <is>
          <t>S010</t>
        </is>
      </c>
      <c r="B11" t="n">
        <v>9</v>
      </c>
      <c r="C11" t="n">
        <v>0.93</v>
      </c>
      <c r="D11" t="n">
        <v>125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201"/>
  <sheetViews>
    <sheetView workbookViewId="0">
      <selection activeCell="A1" sqref="A1"/>
    </sheetView>
  </sheetViews>
  <sheetFormatPr baseColWidth="8" defaultRowHeight="15"/>
  <sheetData>
    <row r="1">
      <c r="A1" s="41" t="inlineStr">
        <is>
          <t>Date</t>
        </is>
      </c>
      <c r="B1" s="41" t="inlineStr">
        <is>
          <t>SKU</t>
        </is>
      </c>
      <c r="C1" s="41" t="inlineStr">
        <is>
          <t>Quantity</t>
        </is>
      </c>
      <c r="D1" s="41" t="inlineStr">
        <is>
          <t>Type</t>
        </is>
      </c>
    </row>
    <row r="2">
      <c r="A2" s="42" t="inlineStr">
        <is>
          <t>2026-03-06</t>
        </is>
      </c>
      <c r="B2" s="42" t="inlineStr">
        <is>
          <t>SKU-0008</t>
        </is>
      </c>
      <c r="C2" s="42" t="n">
        <v>125</v>
      </c>
      <c r="D2" s="42" t="inlineStr">
        <is>
          <t>in</t>
        </is>
      </c>
    </row>
    <row r="3">
      <c r="A3" t="inlineStr">
        <is>
          <t>2026-04-03</t>
        </is>
      </c>
      <c r="B3" t="inlineStr">
        <is>
          <t>SKU-0016</t>
        </is>
      </c>
      <c r="C3" t="n">
        <v>110</v>
      </c>
      <c r="D3" t="inlineStr">
        <is>
          <t>in</t>
        </is>
      </c>
    </row>
    <row r="4">
      <c r="A4" s="42" t="inlineStr">
        <is>
          <t>2026-04-02</t>
        </is>
      </c>
      <c r="B4" s="42" t="inlineStr">
        <is>
          <t>SKU-0049</t>
        </is>
      </c>
      <c r="C4" s="42" t="n">
        <v>291</v>
      </c>
      <c r="D4" s="42" t="inlineStr">
        <is>
          <t>out</t>
        </is>
      </c>
    </row>
    <row r="5">
      <c r="A5" t="inlineStr">
        <is>
          <t>2026-04-13</t>
        </is>
      </c>
      <c r="B5" t="inlineStr">
        <is>
          <t>SKU-0014</t>
        </is>
      </c>
      <c r="C5" t="n">
        <v>135</v>
      </c>
      <c r="D5" t="inlineStr">
        <is>
          <t>out</t>
        </is>
      </c>
    </row>
    <row r="6">
      <c r="A6" s="42" t="inlineStr">
        <is>
          <t>2026-05-12</t>
        </is>
      </c>
      <c r="B6" s="42" t="inlineStr">
        <is>
          <t>SKU-0022</t>
        </is>
      </c>
      <c r="C6" s="42" t="n">
        <v>117</v>
      </c>
      <c r="D6" s="42" t="inlineStr">
        <is>
          <t>out</t>
        </is>
      </c>
    </row>
    <row r="7">
      <c r="A7" t="inlineStr">
        <is>
          <t>2026-05-23</t>
        </is>
      </c>
      <c r="B7" t="inlineStr">
        <is>
          <t>SKU-0048</t>
        </is>
      </c>
      <c r="C7" t="n">
        <v>115</v>
      </c>
      <c r="D7" t="inlineStr">
        <is>
          <t>out</t>
        </is>
      </c>
    </row>
    <row r="8">
      <c r="A8" s="42" t="inlineStr">
        <is>
          <t>2026-04-24</t>
        </is>
      </c>
      <c r="B8" s="42" t="inlineStr">
        <is>
          <t>SKU-0031</t>
        </is>
      </c>
      <c r="C8" s="42" t="n">
        <v>269</v>
      </c>
      <c r="D8" s="42" t="inlineStr">
        <is>
          <t>out</t>
        </is>
      </c>
    </row>
    <row r="9">
      <c r="A9" t="inlineStr">
        <is>
          <t>2026-04-04</t>
        </is>
      </c>
      <c r="B9" t="inlineStr">
        <is>
          <t>SKU-0049</t>
        </is>
      </c>
      <c r="C9" t="n">
        <v>74</v>
      </c>
      <c r="D9" t="inlineStr">
        <is>
          <t>in</t>
        </is>
      </c>
    </row>
    <row r="10">
      <c r="A10" s="42" t="inlineStr">
        <is>
          <t>2026-05-15</t>
        </is>
      </c>
      <c r="B10" s="42" t="inlineStr">
        <is>
          <t>SKU-0010</t>
        </is>
      </c>
      <c r="C10" s="42" t="n">
        <v>197</v>
      </c>
      <c r="D10" s="42" t="inlineStr">
        <is>
          <t>in</t>
        </is>
      </c>
    </row>
    <row r="11">
      <c r="A11" t="inlineStr">
        <is>
          <t>2026-05-24</t>
        </is>
      </c>
      <c r="B11" t="inlineStr">
        <is>
          <t>SKU-0023</t>
        </is>
      </c>
      <c r="C11" t="n">
        <v>165</v>
      </c>
      <c r="D11" t="inlineStr">
        <is>
          <t>in</t>
        </is>
      </c>
    </row>
    <row r="12">
      <c r="A12" s="42" t="inlineStr">
        <is>
          <t>2026-04-16</t>
        </is>
      </c>
      <c r="B12" s="42" t="inlineStr">
        <is>
          <t>SKU-0034</t>
        </is>
      </c>
      <c r="C12" s="42" t="n">
        <v>24</v>
      </c>
      <c r="D12" s="42" t="inlineStr">
        <is>
          <t>in</t>
        </is>
      </c>
    </row>
    <row r="13">
      <c r="A13" t="inlineStr">
        <is>
          <t>2026-05-23</t>
        </is>
      </c>
      <c r="B13" t="inlineStr">
        <is>
          <t>SKU-0008</t>
        </is>
      </c>
      <c r="C13" t="n">
        <v>67</v>
      </c>
      <c r="D13" t="inlineStr">
        <is>
          <t>out</t>
        </is>
      </c>
    </row>
    <row r="14">
      <c r="A14" s="42" t="inlineStr">
        <is>
          <t>2026-04-07</t>
        </is>
      </c>
      <c r="B14" s="42" t="inlineStr">
        <is>
          <t>SKU-0026</t>
        </is>
      </c>
      <c r="C14" s="42" t="n">
        <v>148</v>
      </c>
      <c r="D14" s="42" t="inlineStr">
        <is>
          <t>out</t>
        </is>
      </c>
    </row>
    <row r="15">
      <c r="A15" t="inlineStr">
        <is>
          <t>2026-05-01</t>
        </is>
      </c>
      <c r="B15" t="inlineStr">
        <is>
          <t>SKU-0039</t>
        </is>
      </c>
      <c r="C15" t="n">
        <v>299</v>
      </c>
      <c r="D15" t="inlineStr">
        <is>
          <t>out</t>
        </is>
      </c>
    </row>
    <row r="16">
      <c r="A16" s="42" t="inlineStr">
        <is>
          <t>2026-03-25</t>
        </is>
      </c>
      <c r="B16" s="42" t="inlineStr">
        <is>
          <t>SKU-0047</t>
        </is>
      </c>
      <c r="C16" s="42" t="n">
        <v>272</v>
      </c>
      <c r="D16" s="42" t="inlineStr">
        <is>
          <t>in</t>
        </is>
      </c>
    </row>
    <row r="17">
      <c r="A17" t="inlineStr">
        <is>
          <t>2026-05-19</t>
        </is>
      </c>
      <c r="B17" t="inlineStr">
        <is>
          <t>SKU-0027</t>
        </is>
      </c>
      <c r="C17" t="n">
        <v>236</v>
      </c>
      <c r="D17" t="inlineStr">
        <is>
          <t>in</t>
        </is>
      </c>
    </row>
    <row r="18">
      <c r="A18" s="42" t="inlineStr">
        <is>
          <t>2026-03-18</t>
        </is>
      </c>
      <c r="B18" s="42" t="inlineStr">
        <is>
          <t>SKU-0012</t>
        </is>
      </c>
      <c r="C18" s="42" t="n">
        <v>278</v>
      </c>
      <c r="D18" s="42" t="inlineStr">
        <is>
          <t>out</t>
        </is>
      </c>
    </row>
    <row r="19">
      <c r="A19" t="inlineStr">
        <is>
          <t>2026-04-03</t>
        </is>
      </c>
      <c r="B19" t="inlineStr">
        <is>
          <t>SKU-0048</t>
        </is>
      </c>
      <c r="C19" t="n">
        <v>80</v>
      </c>
      <c r="D19" t="inlineStr">
        <is>
          <t>in</t>
        </is>
      </c>
    </row>
    <row r="20">
      <c r="A20" s="42" t="inlineStr">
        <is>
          <t>2026-05-13</t>
        </is>
      </c>
      <c r="B20" s="42" t="inlineStr">
        <is>
          <t>SKU-0008</t>
        </is>
      </c>
      <c r="C20" s="42" t="n">
        <v>275</v>
      </c>
      <c r="D20" s="42" t="inlineStr">
        <is>
          <t>out</t>
        </is>
      </c>
    </row>
    <row r="21">
      <c r="A21" t="inlineStr">
        <is>
          <t>2026-03-13</t>
        </is>
      </c>
      <c r="B21" t="inlineStr">
        <is>
          <t>SKU-0013</t>
        </is>
      </c>
      <c r="C21" t="n">
        <v>114</v>
      </c>
      <c r="D21" t="inlineStr">
        <is>
          <t>out</t>
        </is>
      </c>
    </row>
    <row r="22">
      <c r="A22" s="42" t="inlineStr">
        <is>
          <t>2026-04-20</t>
        </is>
      </c>
      <c r="B22" s="42" t="inlineStr">
        <is>
          <t>SKU-0042</t>
        </is>
      </c>
      <c r="C22" s="42" t="n">
        <v>53</v>
      </c>
      <c r="D22" s="42" t="inlineStr">
        <is>
          <t>in</t>
        </is>
      </c>
    </row>
    <row r="23">
      <c r="A23" t="inlineStr">
        <is>
          <t>2026-04-21</t>
        </is>
      </c>
      <c r="B23" t="inlineStr">
        <is>
          <t>SKU-0023</t>
        </is>
      </c>
      <c r="C23" t="n">
        <v>143</v>
      </c>
      <c r="D23" t="inlineStr">
        <is>
          <t>in</t>
        </is>
      </c>
    </row>
    <row r="24">
      <c r="A24" s="42" t="inlineStr">
        <is>
          <t>2026-04-26</t>
        </is>
      </c>
      <c r="B24" s="42" t="inlineStr">
        <is>
          <t>SKU-0027</t>
        </is>
      </c>
      <c r="C24" s="42" t="n">
        <v>53</v>
      </c>
      <c r="D24" s="42" t="inlineStr">
        <is>
          <t>out</t>
        </is>
      </c>
    </row>
    <row r="25">
      <c r="A25" t="inlineStr">
        <is>
          <t>2026-05-06</t>
        </is>
      </c>
      <c r="B25" t="inlineStr">
        <is>
          <t>SKU-0037</t>
        </is>
      </c>
      <c r="C25" t="n">
        <v>145</v>
      </c>
      <c r="D25" t="inlineStr">
        <is>
          <t>in</t>
        </is>
      </c>
    </row>
    <row r="26">
      <c r="A26" s="42" t="inlineStr">
        <is>
          <t>2026-04-01</t>
        </is>
      </c>
      <c r="B26" s="42" t="inlineStr">
        <is>
          <t>SKU-0041</t>
        </is>
      </c>
      <c r="C26" s="42" t="n">
        <v>123</v>
      </c>
      <c r="D26" s="42" t="inlineStr">
        <is>
          <t>out</t>
        </is>
      </c>
    </row>
    <row r="27">
      <c r="A27" t="inlineStr">
        <is>
          <t>2026-03-28</t>
        </is>
      </c>
      <c r="B27" t="inlineStr">
        <is>
          <t>SKU-0045</t>
        </is>
      </c>
      <c r="C27" t="n">
        <v>106</v>
      </c>
      <c r="D27" t="inlineStr">
        <is>
          <t>in</t>
        </is>
      </c>
    </row>
    <row r="28">
      <c r="A28" s="42" t="inlineStr">
        <is>
          <t>2026-04-19</t>
        </is>
      </c>
      <c r="B28" s="42" t="inlineStr">
        <is>
          <t>SKU-0020</t>
        </is>
      </c>
      <c r="C28" s="42" t="n">
        <v>157</v>
      </c>
      <c r="D28" s="42" t="inlineStr">
        <is>
          <t>in</t>
        </is>
      </c>
    </row>
    <row r="29">
      <c r="A29" t="inlineStr">
        <is>
          <t>2026-03-27</t>
        </is>
      </c>
      <c r="B29" t="inlineStr">
        <is>
          <t>SKU-0004</t>
        </is>
      </c>
      <c r="C29" t="n">
        <v>136</v>
      </c>
      <c r="D29" t="inlineStr">
        <is>
          <t>out</t>
        </is>
      </c>
    </row>
    <row r="30">
      <c r="A30" s="42" t="inlineStr">
        <is>
          <t>2026-05-28</t>
        </is>
      </c>
      <c r="B30" s="42" t="inlineStr">
        <is>
          <t>SKU-0015</t>
        </is>
      </c>
      <c r="C30" s="42" t="n">
        <v>105</v>
      </c>
      <c r="D30" s="42" t="inlineStr">
        <is>
          <t>out</t>
        </is>
      </c>
    </row>
    <row r="31">
      <c r="A31" t="inlineStr">
        <is>
          <t>2026-04-18</t>
        </is>
      </c>
      <c r="B31" t="inlineStr">
        <is>
          <t>SKU-0006</t>
        </is>
      </c>
      <c r="C31" t="n">
        <v>206</v>
      </c>
      <c r="D31" t="inlineStr">
        <is>
          <t>out</t>
        </is>
      </c>
    </row>
    <row r="32">
      <c r="A32" s="42" t="inlineStr">
        <is>
          <t>2026-04-17</t>
        </is>
      </c>
      <c r="B32" s="42" t="inlineStr">
        <is>
          <t>SKU-0045</t>
        </is>
      </c>
      <c r="C32" s="42" t="n">
        <v>62</v>
      </c>
      <c r="D32" s="42" t="inlineStr">
        <is>
          <t>in</t>
        </is>
      </c>
    </row>
    <row r="33">
      <c r="A33" t="inlineStr">
        <is>
          <t>2026-05-13</t>
        </is>
      </c>
      <c r="B33" t="inlineStr">
        <is>
          <t>SKU-0048</t>
        </is>
      </c>
      <c r="C33" t="n">
        <v>136</v>
      </c>
      <c r="D33" t="inlineStr">
        <is>
          <t>out</t>
        </is>
      </c>
    </row>
    <row r="34">
      <c r="A34" s="42" t="inlineStr">
        <is>
          <t>2026-03-23</t>
        </is>
      </c>
      <c r="B34" s="42" t="inlineStr">
        <is>
          <t>SKU-0004</t>
        </is>
      </c>
      <c r="C34" s="42" t="n">
        <v>60</v>
      </c>
      <c r="D34" s="42" t="inlineStr">
        <is>
          <t>out</t>
        </is>
      </c>
    </row>
    <row r="35">
      <c r="A35" t="inlineStr">
        <is>
          <t>2026-05-05</t>
        </is>
      </c>
      <c r="B35" t="inlineStr">
        <is>
          <t>SKU-0050</t>
        </is>
      </c>
      <c r="C35" t="n">
        <v>119</v>
      </c>
      <c r="D35" t="inlineStr">
        <is>
          <t>in</t>
        </is>
      </c>
    </row>
    <row r="36">
      <c r="A36" s="42" t="inlineStr">
        <is>
          <t>2026-05-13</t>
        </is>
      </c>
      <c r="B36" s="42" t="inlineStr">
        <is>
          <t>SKU-0023</t>
        </is>
      </c>
      <c r="C36" s="42" t="n">
        <v>80</v>
      </c>
      <c r="D36" s="42" t="inlineStr">
        <is>
          <t>in</t>
        </is>
      </c>
    </row>
    <row r="37">
      <c r="A37" t="inlineStr">
        <is>
          <t>2026-04-13</t>
        </is>
      </c>
      <c r="B37" t="inlineStr">
        <is>
          <t>SKU-0037</t>
        </is>
      </c>
      <c r="C37" t="n">
        <v>110</v>
      </c>
      <c r="D37" t="inlineStr">
        <is>
          <t>in</t>
        </is>
      </c>
    </row>
    <row r="38">
      <c r="A38" s="42" t="inlineStr">
        <is>
          <t>2026-04-27</t>
        </is>
      </c>
      <c r="B38" s="42" t="inlineStr">
        <is>
          <t>SKU-0001</t>
        </is>
      </c>
      <c r="C38" s="42" t="n">
        <v>126</v>
      </c>
      <c r="D38" s="42" t="inlineStr">
        <is>
          <t>in</t>
        </is>
      </c>
    </row>
    <row r="39">
      <c r="A39" t="inlineStr">
        <is>
          <t>2026-05-06</t>
        </is>
      </c>
      <c r="B39" t="inlineStr">
        <is>
          <t>SKU-0022</t>
        </is>
      </c>
      <c r="C39" t="n">
        <v>248</v>
      </c>
      <c r="D39" t="inlineStr">
        <is>
          <t>in</t>
        </is>
      </c>
    </row>
    <row r="40">
      <c r="A40" s="42" t="inlineStr">
        <is>
          <t>2026-03-11</t>
        </is>
      </c>
      <c r="B40" s="42" t="inlineStr">
        <is>
          <t>SKU-0046</t>
        </is>
      </c>
      <c r="C40" s="42" t="n">
        <v>177</v>
      </c>
      <c r="D40" s="42" t="inlineStr">
        <is>
          <t>in</t>
        </is>
      </c>
    </row>
    <row r="41">
      <c r="A41" t="inlineStr">
        <is>
          <t>2026-05-03</t>
        </is>
      </c>
      <c r="B41" t="inlineStr">
        <is>
          <t>SKU-0023</t>
        </is>
      </c>
      <c r="C41" t="n">
        <v>176</v>
      </c>
      <c r="D41" t="inlineStr">
        <is>
          <t>out</t>
        </is>
      </c>
    </row>
    <row r="42">
      <c r="A42" s="42" t="inlineStr">
        <is>
          <t>2026-04-22</t>
        </is>
      </c>
      <c r="B42" s="42" t="inlineStr">
        <is>
          <t>SKU-0005</t>
        </is>
      </c>
      <c r="C42" s="42" t="n">
        <v>108</v>
      </c>
      <c r="D42" s="42" t="inlineStr">
        <is>
          <t>in</t>
        </is>
      </c>
    </row>
    <row r="43">
      <c r="A43" t="inlineStr">
        <is>
          <t>2026-05-08</t>
        </is>
      </c>
      <c r="B43" t="inlineStr">
        <is>
          <t>SKU-0013</t>
        </is>
      </c>
      <c r="C43" t="n">
        <v>138</v>
      </c>
      <c r="D43" t="inlineStr">
        <is>
          <t>out</t>
        </is>
      </c>
    </row>
    <row r="44">
      <c r="A44" s="42" t="inlineStr">
        <is>
          <t>2026-04-13</t>
        </is>
      </c>
      <c r="B44" s="42" t="inlineStr">
        <is>
          <t>SKU-0050</t>
        </is>
      </c>
      <c r="C44" s="42" t="n">
        <v>100</v>
      </c>
      <c r="D44" s="42" t="inlineStr">
        <is>
          <t>out</t>
        </is>
      </c>
    </row>
    <row r="45">
      <c r="A45" t="inlineStr">
        <is>
          <t>2026-03-12</t>
        </is>
      </c>
      <c r="B45" t="inlineStr">
        <is>
          <t>SKU-0029</t>
        </is>
      </c>
      <c r="C45" t="n">
        <v>43</v>
      </c>
      <c r="D45" t="inlineStr">
        <is>
          <t>in</t>
        </is>
      </c>
    </row>
    <row r="46">
      <c r="A46" s="42" t="inlineStr">
        <is>
          <t>2026-04-14</t>
        </is>
      </c>
      <c r="B46" s="42" t="inlineStr">
        <is>
          <t>SKU-0049</t>
        </is>
      </c>
      <c r="C46" s="42" t="n">
        <v>226</v>
      </c>
      <c r="D46" s="42" t="inlineStr">
        <is>
          <t>in</t>
        </is>
      </c>
    </row>
    <row r="47">
      <c r="A47" t="inlineStr">
        <is>
          <t>2026-04-03</t>
        </is>
      </c>
      <c r="B47" t="inlineStr">
        <is>
          <t>SKU-0010</t>
        </is>
      </c>
      <c r="C47" t="n">
        <v>20</v>
      </c>
      <c r="D47" t="inlineStr">
        <is>
          <t>in</t>
        </is>
      </c>
    </row>
    <row r="48">
      <c r="A48" s="42" t="inlineStr">
        <is>
          <t>2026-05-20</t>
        </is>
      </c>
      <c r="B48" s="42" t="inlineStr">
        <is>
          <t>SKU-0042</t>
        </is>
      </c>
      <c r="C48" s="42" t="n">
        <v>190</v>
      </c>
      <c r="D48" s="42" t="inlineStr">
        <is>
          <t>in</t>
        </is>
      </c>
    </row>
    <row r="49">
      <c r="A49" t="inlineStr">
        <is>
          <t>2026-03-01</t>
        </is>
      </c>
      <c r="B49" t="inlineStr">
        <is>
          <t>SKU-0038</t>
        </is>
      </c>
      <c r="C49" t="n">
        <v>189</v>
      </c>
      <c r="D49" t="inlineStr">
        <is>
          <t>out</t>
        </is>
      </c>
    </row>
    <row r="50">
      <c r="A50" s="42" t="inlineStr">
        <is>
          <t>2026-05-12</t>
        </is>
      </c>
      <c r="B50" s="42" t="inlineStr">
        <is>
          <t>SKU-0022</t>
        </is>
      </c>
      <c r="C50" s="42" t="n">
        <v>52</v>
      </c>
      <c r="D50" s="42" t="inlineStr">
        <is>
          <t>in</t>
        </is>
      </c>
    </row>
    <row r="51">
      <c r="A51" t="inlineStr">
        <is>
          <t>2026-04-18</t>
        </is>
      </c>
      <c r="B51" t="inlineStr">
        <is>
          <t>SKU-0026</t>
        </is>
      </c>
      <c r="C51" t="n">
        <v>298</v>
      </c>
      <c r="D51" t="inlineStr">
        <is>
          <t>in</t>
        </is>
      </c>
    </row>
    <row r="52">
      <c r="A52" s="42" t="inlineStr">
        <is>
          <t>2026-03-14</t>
        </is>
      </c>
      <c r="B52" s="42" t="inlineStr">
        <is>
          <t>SKU-0035</t>
        </is>
      </c>
      <c r="C52" s="42" t="n">
        <v>11</v>
      </c>
      <c r="D52" s="42" t="inlineStr">
        <is>
          <t>out</t>
        </is>
      </c>
    </row>
    <row r="53">
      <c r="A53" t="inlineStr">
        <is>
          <t>2026-05-12</t>
        </is>
      </c>
      <c r="B53" t="inlineStr">
        <is>
          <t>SKU-0048</t>
        </is>
      </c>
      <c r="C53" t="n">
        <v>101</v>
      </c>
      <c r="D53" t="inlineStr">
        <is>
          <t>out</t>
        </is>
      </c>
    </row>
    <row r="54">
      <c r="A54" s="42" t="inlineStr">
        <is>
          <t>2026-03-12</t>
        </is>
      </c>
      <c r="B54" s="42" t="inlineStr">
        <is>
          <t>SKU-0010</t>
        </is>
      </c>
      <c r="C54" s="42" t="n">
        <v>243</v>
      </c>
      <c r="D54" s="42" t="inlineStr">
        <is>
          <t>out</t>
        </is>
      </c>
    </row>
    <row r="55">
      <c r="A55" t="inlineStr">
        <is>
          <t>2026-03-17</t>
        </is>
      </c>
      <c r="B55" t="inlineStr">
        <is>
          <t>SKU-0034</t>
        </is>
      </c>
      <c r="C55" t="n">
        <v>244</v>
      </c>
      <c r="D55" t="inlineStr">
        <is>
          <t>in</t>
        </is>
      </c>
    </row>
    <row r="56">
      <c r="A56" s="42" t="inlineStr">
        <is>
          <t>2026-03-19</t>
        </is>
      </c>
      <c r="B56" s="42" t="inlineStr">
        <is>
          <t>SKU-0005</t>
        </is>
      </c>
      <c r="C56" s="42" t="n">
        <v>124</v>
      </c>
      <c r="D56" s="42" t="inlineStr">
        <is>
          <t>out</t>
        </is>
      </c>
    </row>
    <row r="57">
      <c r="A57" t="inlineStr">
        <is>
          <t>2026-03-02</t>
        </is>
      </c>
      <c r="B57" t="inlineStr">
        <is>
          <t>SKU-0003</t>
        </is>
      </c>
      <c r="C57" t="n">
        <v>269</v>
      </c>
      <c r="D57" t="inlineStr">
        <is>
          <t>in</t>
        </is>
      </c>
    </row>
    <row r="58">
      <c r="A58" s="42" t="inlineStr">
        <is>
          <t>2026-04-26</t>
        </is>
      </c>
      <c r="B58" s="42" t="inlineStr">
        <is>
          <t>SKU-0029</t>
        </is>
      </c>
      <c r="C58" s="42" t="n">
        <v>162</v>
      </c>
      <c r="D58" s="42" t="inlineStr">
        <is>
          <t>in</t>
        </is>
      </c>
    </row>
    <row r="59">
      <c r="A59" t="inlineStr">
        <is>
          <t>2026-05-08</t>
        </is>
      </c>
      <c r="B59" t="inlineStr">
        <is>
          <t>SKU-0024</t>
        </is>
      </c>
      <c r="C59" t="n">
        <v>242</v>
      </c>
      <c r="D59" t="inlineStr">
        <is>
          <t>out</t>
        </is>
      </c>
    </row>
    <row r="60">
      <c r="A60" s="42" t="inlineStr">
        <is>
          <t>2026-03-26</t>
        </is>
      </c>
      <c r="B60" s="42" t="inlineStr">
        <is>
          <t>SKU-0017</t>
        </is>
      </c>
      <c r="C60" s="42" t="n">
        <v>114</v>
      </c>
      <c r="D60" s="42" t="inlineStr">
        <is>
          <t>out</t>
        </is>
      </c>
    </row>
    <row r="61">
      <c r="A61" t="inlineStr">
        <is>
          <t>2026-05-27</t>
        </is>
      </c>
      <c r="B61" t="inlineStr">
        <is>
          <t>SKU-0033</t>
        </is>
      </c>
      <c r="C61" t="n">
        <v>15</v>
      </c>
      <c r="D61" t="inlineStr">
        <is>
          <t>out</t>
        </is>
      </c>
    </row>
    <row r="62">
      <c r="A62" s="42" t="inlineStr">
        <is>
          <t>2026-05-04</t>
        </is>
      </c>
      <c r="B62" s="42" t="inlineStr">
        <is>
          <t>SKU-0036</t>
        </is>
      </c>
      <c r="C62" s="42" t="n">
        <v>16</v>
      </c>
      <c r="D62" s="42" t="inlineStr">
        <is>
          <t>in</t>
        </is>
      </c>
    </row>
    <row r="63">
      <c r="A63" t="inlineStr">
        <is>
          <t>2026-04-22</t>
        </is>
      </c>
      <c r="B63" t="inlineStr">
        <is>
          <t>SKU-0031</t>
        </is>
      </c>
      <c r="C63" t="n">
        <v>58</v>
      </c>
      <c r="D63" t="inlineStr">
        <is>
          <t>out</t>
        </is>
      </c>
    </row>
    <row r="64">
      <c r="A64" s="42" t="inlineStr">
        <is>
          <t>2026-03-08</t>
        </is>
      </c>
      <c r="B64" s="42" t="inlineStr">
        <is>
          <t>SKU-0016</t>
        </is>
      </c>
      <c r="C64" s="42" t="n">
        <v>40</v>
      </c>
      <c r="D64" s="42" t="inlineStr">
        <is>
          <t>in</t>
        </is>
      </c>
    </row>
    <row r="65">
      <c r="A65" t="inlineStr">
        <is>
          <t>2026-03-17</t>
        </is>
      </c>
      <c r="B65" t="inlineStr">
        <is>
          <t>SKU-0024</t>
        </is>
      </c>
      <c r="C65" t="n">
        <v>14</v>
      </c>
      <c r="D65" t="inlineStr">
        <is>
          <t>in</t>
        </is>
      </c>
    </row>
    <row r="66">
      <c r="A66" s="42" t="inlineStr">
        <is>
          <t>2026-04-04</t>
        </is>
      </c>
      <c r="B66" s="42" t="inlineStr">
        <is>
          <t>SKU-0022</t>
        </is>
      </c>
      <c r="C66" s="42" t="n">
        <v>229</v>
      </c>
      <c r="D66" s="42" t="inlineStr">
        <is>
          <t>out</t>
        </is>
      </c>
    </row>
    <row r="67">
      <c r="A67" t="inlineStr">
        <is>
          <t>2026-05-27</t>
        </is>
      </c>
      <c r="B67" t="inlineStr">
        <is>
          <t>SKU-0040</t>
        </is>
      </c>
      <c r="C67" t="n">
        <v>51</v>
      </c>
      <c r="D67" t="inlineStr">
        <is>
          <t>out</t>
        </is>
      </c>
    </row>
    <row r="68">
      <c r="A68" s="42" t="inlineStr">
        <is>
          <t>2026-05-28</t>
        </is>
      </c>
      <c r="B68" s="42" t="inlineStr">
        <is>
          <t>SKU-0049</t>
        </is>
      </c>
      <c r="C68" s="42" t="n">
        <v>221</v>
      </c>
      <c r="D68" s="42" t="inlineStr">
        <is>
          <t>out</t>
        </is>
      </c>
    </row>
    <row r="69">
      <c r="A69" t="inlineStr">
        <is>
          <t>2026-05-07</t>
        </is>
      </c>
      <c r="B69" t="inlineStr">
        <is>
          <t>SKU-0016</t>
        </is>
      </c>
      <c r="C69" t="n">
        <v>157</v>
      </c>
      <c r="D69" t="inlineStr">
        <is>
          <t>out</t>
        </is>
      </c>
    </row>
    <row r="70">
      <c r="A70" s="42" t="inlineStr">
        <is>
          <t>2026-05-03</t>
        </is>
      </c>
      <c r="B70" s="42" t="inlineStr">
        <is>
          <t>SKU-0014</t>
        </is>
      </c>
      <c r="C70" s="42" t="n">
        <v>64</v>
      </c>
      <c r="D70" s="42" t="inlineStr">
        <is>
          <t>out</t>
        </is>
      </c>
    </row>
    <row r="71">
      <c r="A71" t="inlineStr">
        <is>
          <t>2026-03-23</t>
        </is>
      </c>
      <c r="B71" t="inlineStr">
        <is>
          <t>SKU-0017</t>
        </is>
      </c>
      <c r="C71" t="n">
        <v>256</v>
      </c>
      <c r="D71" t="inlineStr">
        <is>
          <t>in</t>
        </is>
      </c>
    </row>
    <row r="72">
      <c r="A72" s="42" t="inlineStr">
        <is>
          <t>2026-04-26</t>
        </is>
      </c>
      <c r="B72" s="42" t="inlineStr">
        <is>
          <t>SKU-0039</t>
        </is>
      </c>
      <c r="C72" s="42" t="n">
        <v>11</v>
      </c>
      <c r="D72" s="42" t="inlineStr">
        <is>
          <t>out</t>
        </is>
      </c>
    </row>
    <row r="73">
      <c r="A73" t="inlineStr">
        <is>
          <t>2026-05-12</t>
        </is>
      </c>
      <c r="B73" t="inlineStr">
        <is>
          <t>SKU-0042</t>
        </is>
      </c>
      <c r="C73" t="n">
        <v>97</v>
      </c>
      <c r="D73" t="inlineStr">
        <is>
          <t>in</t>
        </is>
      </c>
    </row>
    <row r="74">
      <c r="A74" s="42" t="inlineStr">
        <is>
          <t>2026-04-08</t>
        </is>
      </c>
      <c r="B74" s="42" t="inlineStr">
        <is>
          <t>SKU-0002</t>
        </is>
      </c>
      <c r="C74" s="42" t="n">
        <v>236</v>
      </c>
      <c r="D74" s="42" t="inlineStr">
        <is>
          <t>out</t>
        </is>
      </c>
    </row>
    <row r="75">
      <c r="A75" t="inlineStr">
        <is>
          <t>2026-04-13</t>
        </is>
      </c>
      <c r="B75" t="inlineStr">
        <is>
          <t>SKU-0025</t>
        </is>
      </c>
      <c r="C75" t="n">
        <v>275</v>
      </c>
      <c r="D75" t="inlineStr">
        <is>
          <t>in</t>
        </is>
      </c>
    </row>
    <row r="76">
      <c r="A76" s="42" t="inlineStr">
        <is>
          <t>2026-04-08</t>
        </is>
      </c>
      <c r="B76" s="42" t="inlineStr">
        <is>
          <t>SKU-0018</t>
        </is>
      </c>
      <c r="C76" s="42" t="n">
        <v>128</v>
      </c>
      <c r="D76" s="42" t="inlineStr">
        <is>
          <t>out</t>
        </is>
      </c>
    </row>
    <row r="77">
      <c r="A77" t="inlineStr">
        <is>
          <t>2026-04-28</t>
        </is>
      </c>
      <c r="B77" t="inlineStr">
        <is>
          <t>SKU-0036</t>
        </is>
      </c>
      <c r="C77" t="n">
        <v>44</v>
      </c>
      <c r="D77" t="inlineStr">
        <is>
          <t>out</t>
        </is>
      </c>
    </row>
    <row r="78">
      <c r="A78" s="42" t="inlineStr">
        <is>
          <t>2026-04-18</t>
        </is>
      </c>
      <c r="B78" s="42" t="inlineStr">
        <is>
          <t>SKU-0015</t>
        </is>
      </c>
      <c r="C78" s="42" t="n">
        <v>213</v>
      </c>
      <c r="D78" s="42" t="inlineStr">
        <is>
          <t>in</t>
        </is>
      </c>
    </row>
    <row r="79">
      <c r="A79" t="inlineStr">
        <is>
          <t>2026-05-04</t>
        </is>
      </c>
      <c r="B79" t="inlineStr">
        <is>
          <t>SKU-0029</t>
        </is>
      </c>
      <c r="C79" t="n">
        <v>282</v>
      </c>
      <c r="D79" t="inlineStr">
        <is>
          <t>out</t>
        </is>
      </c>
    </row>
    <row r="80">
      <c r="A80" s="42" t="inlineStr">
        <is>
          <t>2026-03-06</t>
        </is>
      </c>
      <c r="B80" s="42" t="inlineStr">
        <is>
          <t>SKU-0014</t>
        </is>
      </c>
      <c r="C80" s="42" t="n">
        <v>229</v>
      </c>
      <c r="D80" s="42" t="inlineStr">
        <is>
          <t>out</t>
        </is>
      </c>
    </row>
    <row r="81">
      <c r="A81" t="inlineStr">
        <is>
          <t>2026-04-03</t>
        </is>
      </c>
      <c r="B81" t="inlineStr">
        <is>
          <t>SKU-0008</t>
        </is>
      </c>
      <c r="C81" t="n">
        <v>105</v>
      </c>
      <c r="D81" t="inlineStr">
        <is>
          <t>in</t>
        </is>
      </c>
    </row>
    <row r="82">
      <c r="A82" s="42" t="inlineStr">
        <is>
          <t>2026-04-19</t>
        </is>
      </c>
      <c r="B82" s="42" t="inlineStr">
        <is>
          <t>SKU-0043</t>
        </is>
      </c>
      <c r="C82" s="42" t="n">
        <v>32</v>
      </c>
      <c r="D82" s="42" t="inlineStr">
        <is>
          <t>in</t>
        </is>
      </c>
    </row>
    <row r="83">
      <c r="A83" t="inlineStr">
        <is>
          <t>2026-04-08</t>
        </is>
      </c>
      <c r="B83" t="inlineStr">
        <is>
          <t>SKU-0009</t>
        </is>
      </c>
      <c r="C83" t="n">
        <v>225</v>
      </c>
      <c r="D83" t="inlineStr">
        <is>
          <t>in</t>
        </is>
      </c>
    </row>
    <row r="84">
      <c r="A84" s="42" t="inlineStr">
        <is>
          <t>2026-05-02</t>
        </is>
      </c>
      <c r="B84" s="42" t="inlineStr">
        <is>
          <t>SKU-0036</t>
        </is>
      </c>
      <c r="C84" s="42" t="n">
        <v>230</v>
      </c>
      <c r="D84" s="42" t="inlineStr">
        <is>
          <t>out</t>
        </is>
      </c>
    </row>
    <row r="85">
      <c r="A85" t="inlineStr">
        <is>
          <t>2026-03-02</t>
        </is>
      </c>
      <c r="B85" t="inlineStr">
        <is>
          <t>SKU-0025</t>
        </is>
      </c>
      <c r="C85" t="n">
        <v>138</v>
      </c>
      <c r="D85" t="inlineStr">
        <is>
          <t>out</t>
        </is>
      </c>
    </row>
    <row r="86">
      <c r="A86" s="42" t="inlineStr">
        <is>
          <t>2026-03-28</t>
        </is>
      </c>
      <c r="B86" s="42" t="inlineStr">
        <is>
          <t>SKU-0014</t>
        </is>
      </c>
      <c r="C86" s="42" t="n">
        <v>244</v>
      </c>
      <c r="D86" s="42" t="inlineStr">
        <is>
          <t>in</t>
        </is>
      </c>
    </row>
    <row r="87">
      <c r="A87" t="inlineStr">
        <is>
          <t>2026-05-07</t>
        </is>
      </c>
      <c r="B87" t="inlineStr">
        <is>
          <t>SKU-0027</t>
        </is>
      </c>
      <c r="C87" t="n">
        <v>22</v>
      </c>
      <c r="D87" t="inlineStr">
        <is>
          <t>out</t>
        </is>
      </c>
    </row>
    <row r="88">
      <c r="A88" s="42" t="inlineStr">
        <is>
          <t>2026-05-17</t>
        </is>
      </c>
      <c r="B88" s="42" t="inlineStr">
        <is>
          <t>SKU-0017</t>
        </is>
      </c>
      <c r="C88" s="42" t="n">
        <v>241</v>
      </c>
      <c r="D88" s="42" t="inlineStr">
        <is>
          <t>in</t>
        </is>
      </c>
    </row>
    <row r="89">
      <c r="A89" t="inlineStr">
        <is>
          <t>2026-03-23</t>
        </is>
      </c>
      <c r="B89" t="inlineStr">
        <is>
          <t>SKU-0022</t>
        </is>
      </c>
      <c r="C89" t="n">
        <v>277</v>
      </c>
      <c r="D89" t="inlineStr">
        <is>
          <t>out</t>
        </is>
      </c>
    </row>
    <row r="90">
      <c r="A90" s="42" t="inlineStr">
        <is>
          <t>2026-05-08</t>
        </is>
      </c>
      <c r="B90" s="42" t="inlineStr">
        <is>
          <t>SKU-0007</t>
        </is>
      </c>
      <c r="C90" s="42" t="n">
        <v>171</v>
      </c>
      <c r="D90" s="42" t="inlineStr">
        <is>
          <t>in</t>
        </is>
      </c>
    </row>
    <row r="91">
      <c r="A91" t="inlineStr">
        <is>
          <t>2026-04-21</t>
        </is>
      </c>
      <c r="B91" t="inlineStr">
        <is>
          <t>SKU-0015</t>
        </is>
      </c>
      <c r="C91" t="n">
        <v>73</v>
      </c>
      <c r="D91" t="inlineStr">
        <is>
          <t>out</t>
        </is>
      </c>
    </row>
    <row r="92">
      <c r="A92" s="42" t="inlineStr">
        <is>
          <t>2026-04-22</t>
        </is>
      </c>
      <c r="B92" s="42" t="inlineStr">
        <is>
          <t>SKU-0023</t>
        </is>
      </c>
      <c r="C92" s="42" t="n">
        <v>215</v>
      </c>
      <c r="D92" s="42" t="inlineStr">
        <is>
          <t>in</t>
        </is>
      </c>
    </row>
    <row r="93">
      <c r="A93" t="inlineStr">
        <is>
          <t>2026-05-28</t>
        </is>
      </c>
      <c r="B93" t="inlineStr">
        <is>
          <t>SKU-0028</t>
        </is>
      </c>
      <c r="C93" t="n">
        <v>225</v>
      </c>
      <c r="D93" t="inlineStr">
        <is>
          <t>out</t>
        </is>
      </c>
    </row>
    <row r="94">
      <c r="A94" s="42" t="inlineStr">
        <is>
          <t>2026-03-15</t>
        </is>
      </c>
      <c r="B94" s="42" t="inlineStr">
        <is>
          <t>SKU-0048</t>
        </is>
      </c>
      <c r="C94" s="42" t="n">
        <v>27</v>
      </c>
      <c r="D94" s="42" t="inlineStr">
        <is>
          <t>out</t>
        </is>
      </c>
    </row>
    <row r="95">
      <c r="A95" t="inlineStr">
        <is>
          <t>2026-04-16</t>
        </is>
      </c>
      <c r="B95" t="inlineStr">
        <is>
          <t>SKU-0030</t>
        </is>
      </c>
      <c r="C95" t="n">
        <v>152</v>
      </c>
      <c r="D95" t="inlineStr">
        <is>
          <t>in</t>
        </is>
      </c>
    </row>
    <row r="96">
      <c r="A96" s="42" t="inlineStr">
        <is>
          <t>2026-03-14</t>
        </is>
      </c>
      <c r="B96" s="42" t="inlineStr">
        <is>
          <t>SKU-0027</t>
        </is>
      </c>
      <c r="C96" s="42" t="n">
        <v>180</v>
      </c>
      <c r="D96" s="42" t="inlineStr">
        <is>
          <t>out</t>
        </is>
      </c>
    </row>
    <row r="97">
      <c r="A97" t="inlineStr">
        <is>
          <t>2026-04-25</t>
        </is>
      </c>
      <c r="B97" t="inlineStr">
        <is>
          <t>SKU-0026</t>
        </is>
      </c>
      <c r="C97" t="n">
        <v>233</v>
      </c>
      <c r="D97" t="inlineStr">
        <is>
          <t>out</t>
        </is>
      </c>
    </row>
    <row r="98">
      <c r="A98" s="42" t="inlineStr">
        <is>
          <t>2026-05-11</t>
        </is>
      </c>
      <c r="B98" s="42" t="inlineStr">
        <is>
          <t>SKU-0045</t>
        </is>
      </c>
      <c r="C98" s="42" t="n">
        <v>186</v>
      </c>
      <c r="D98" s="42" t="inlineStr">
        <is>
          <t>in</t>
        </is>
      </c>
    </row>
    <row r="99">
      <c r="A99" t="inlineStr">
        <is>
          <t>2026-04-12</t>
        </is>
      </c>
      <c r="B99" t="inlineStr">
        <is>
          <t>SKU-0022</t>
        </is>
      </c>
      <c r="C99" t="n">
        <v>120</v>
      </c>
      <c r="D99" t="inlineStr">
        <is>
          <t>out</t>
        </is>
      </c>
    </row>
    <row r="100">
      <c r="A100" s="42" t="inlineStr">
        <is>
          <t>2026-04-18</t>
        </is>
      </c>
      <c r="B100" s="42" t="inlineStr">
        <is>
          <t>SKU-0018</t>
        </is>
      </c>
      <c r="C100" s="42" t="n">
        <v>231</v>
      </c>
      <c r="D100" s="42" t="inlineStr">
        <is>
          <t>in</t>
        </is>
      </c>
    </row>
    <row r="101">
      <c r="A101" t="inlineStr">
        <is>
          <t>2026-05-02</t>
        </is>
      </c>
      <c r="B101" t="inlineStr">
        <is>
          <t>SKU-0040</t>
        </is>
      </c>
      <c r="C101" t="n">
        <v>97</v>
      </c>
      <c r="D101" t="inlineStr">
        <is>
          <t>out</t>
        </is>
      </c>
    </row>
    <row r="102">
      <c r="A102" s="42" t="inlineStr">
        <is>
          <t>2026-05-25</t>
        </is>
      </c>
      <c r="B102" s="42" t="inlineStr">
        <is>
          <t>SKU-0015</t>
        </is>
      </c>
      <c r="C102" s="42" t="n">
        <v>104</v>
      </c>
      <c r="D102" s="42" t="inlineStr">
        <is>
          <t>out</t>
        </is>
      </c>
    </row>
    <row r="103">
      <c r="A103" t="inlineStr">
        <is>
          <t>2026-05-06</t>
        </is>
      </c>
      <c r="B103" t="inlineStr">
        <is>
          <t>SKU-0043</t>
        </is>
      </c>
      <c r="C103" t="n">
        <v>127</v>
      </c>
      <c r="D103" t="inlineStr">
        <is>
          <t>out</t>
        </is>
      </c>
    </row>
    <row r="104">
      <c r="A104" s="42" t="inlineStr">
        <is>
          <t>2026-05-10</t>
        </is>
      </c>
      <c r="B104" s="42" t="inlineStr">
        <is>
          <t>SKU-0020</t>
        </is>
      </c>
      <c r="C104" s="42" t="n">
        <v>226</v>
      </c>
      <c r="D104" s="42" t="inlineStr">
        <is>
          <t>out</t>
        </is>
      </c>
    </row>
    <row r="105">
      <c r="A105" t="inlineStr">
        <is>
          <t>2026-05-06</t>
        </is>
      </c>
      <c r="B105" t="inlineStr">
        <is>
          <t>SKU-0044</t>
        </is>
      </c>
      <c r="C105" t="n">
        <v>100</v>
      </c>
      <c r="D105" t="inlineStr">
        <is>
          <t>out</t>
        </is>
      </c>
    </row>
    <row r="106">
      <c r="A106" s="42" t="inlineStr">
        <is>
          <t>2026-05-03</t>
        </is>
      </c>
      <c r="B106" s="42" t="inlineStr">
        <is>
          <t>SKU-0022</t>
        </is>
      </c>
      <c r="C106" s="42" t="n">
        <v>248</v>
      </c>
      <c r="D106" s="42" t="inlineStr">
        <is>
          <t>out</t>
        </is>
      </c>
    </row>
    <row r="107">
      <c r="A107" t="inlineStr">
        <is>
          <t>2026-04-27</t>
        </is>
      </c>
      <c r="B107" t="inlineStr">
        <is>
          <t>SKU-0038</t>
        </is>
      </c>
      <c r="C107" t="n">
        <v>66</v>
      </c>
      <c r="D107" t="inlineStr">
        <is>
          <t>out</t>
        </is>
      </c>
    </row>
    <row r="108">
      <c r="A108" s="42" t="inlineStr">
        <is>
          <t>2026-05-13</t>
        </is>
      </c>
      <c r="B108" s="42" t="inlineStr">
        <is>
          <t>SKU-0006</t>
        </is>
      </c>
      <c r="C108" s="42" t="n">
        <v>281</v>
      </c>
      <c r="D108" s="42" t="inlineStr">
        <is>
          <t>out</t>
        </is>
      </c>
    </row>
    <row r="109">
      <c r="A109" t="inlineStr">
        <is>
          <t>2026-03-13</t>
        </is>
      </c>
      <c r="B109" t="inlineStr">
        <is>
          <t>SKU-0040</t>
        </is>
      </c>
      <c r="C109" t="n">
        <v>179</v>
      </c>
      <c r="D109" t="inlineStr">
        <is>
          <t>in</t>
        </is>
      </c>
    </row>
    <row r="110">
      <c r="A110" s="42" t="inlineStr">
        <is>
          <t>2026-05-06</t>
        </is>
      </c>
      <c r="B110" s="42" t="inlineStr">
        <is>
          <t>SKU-0047</t>
        </is>
      </c>
      <c r="C110" s="42" t="n">
        <v>40</v>
      </c>
      <c r="D110" s="42" t="inlineStr">
        <is>
          <t>out</t>
        </is>
      </c>
    </row>
    <row r="111">
      <c r="A111" t="inlineStr">
        <is>
          <t>2026-04-27</t>
        </is>
      </c>
      <c r="B111" t="inlineStr">
        <is>
          <t>SKU-0045</t>
        </is>
      </c>
      <c r="C111" t="n">
        <v>172</v>
      </c>
      <c r="D111" t="inlineStr">
        <is>
          <t>out</t>
        </is>
      </c>
    </row>
    <row r="112">
      <c r="A112" s="42" t="inlineStr">
        <is>
          <t>2026-05-22</t>
        </is>
      </c>
      <c r="B112" s="42" t="inlineStr">
        <is>
          <t>SKU-0002</t>
        </is>
      </c>
      <c r="C112" s="42" t="n">
        <v>261</v>
      </c>
      <c r="D112" s="42" t="inlineStr">
        <is>
          <t>in</t>
        </is>
      </c>
    </row>
    <row r="113">
      <c r="A113" t="inlineStr">
        <is>
          <t>2026-03-02</t>
        </is>
      </c>
      <c r="B113" t="inlineStr">
        <is>
          <t>SKU-0047</t>
        </is>
      </c>
      <c r="C113" t="n">
        <v>255</v>
      </c>
      <c r="D113" t="inlineStr">
        <is>
          <t>in</t>
        </is>
      </c>
    </row>
    <row r="114">
      <c r="A114" s="42" t="inlineStr">
        <is>
          <t>2026-04-05</t>
        </is>
      </c>
      <c r="B114" s="42" t="inlineStr">
        <is>
          <t>SKU-0050</t>
        </is>
      </c>
      <c r="C114" s="42" t="n">
        <v>227</v>
      </c>
      <c r="D114" s="42" t="inlineStr">
        <is>
          <t>out</t>
        </is>
      </c>
    </row>
    <row r="115">
      <c r="A115" t="inlineStr">
        <is>
          <t>2026-04-06</t>
        </is>
      </c>
      <c r="B115" t="inlineStr">
        <is>
          <t>SKU-0028</t>
        </is>
      </c>
      <c r="C115" t="n">
        <v>221</v>
      </c>
      <c r="D115" t="inlineStr">
        <is>
          <t>out</t>
        </is>
      </c>
    </row>
    <row r="116">
      <c r="A116" s="42" t="inlineStr">
        <is>
          <t>2026-04-19</t>
        </is>
      </c>
      <c r="B116" s="42" t="inlineStr">
        <is>
          <t>SKU-0048</t>
        </is>
      </c>
      <c r="C116" s="42" t="n">
        <v>125</v>
      </c>
      <c r="D116" s="42" t="inlineStr">
        <is>
          <t>out</t>
        </is>
      </c>
    </row>
    <row r="117">
      <c r="A117" t="inlineStr">
        <is>
          <t>2026-05-13</t>
        </is>
      </c>
      <c r="B117" t="inlineStr">
        <is>
          <t>SKU-0023</t>
        </is>
      </c>
      <c r="C117" t="n">
        <v>78</v>
      </c>
      <c r="D117" t="inlineStr">
        <is>
          <t>out</t>
        </is>
      </c>
    </row>
    <row r="118">
      <c r="A118" s="42" t="inlineStr">
        <is>
          <t>2026-05-09</t>
        </is>
      </c>
      <c r="B118" s="42" t="inlineStr">
        <is>
          <t>SKU-0009</t>
        </is>
      </c>
      <c r="C118" s="42" t="n">
        <v>270</v>
      </c>
      <c r="D118" s="42" t="inlineStr">
        <is>
          <t>out</t>
        </is>
      </c>
    </row>
    <row r="119">
      <c r="A119" t="inlineStr">
        <is>
          <t>2026-05-02</t>
        </is>
      </c>
      <c r="B119" t="inlineStr">
        <is>
          <t>SKU-0045</t>
        </is>
      </c>
      <c r="C119" t="n">
        <v>97</v>
      </c>
      <c r="D119" t="inlineStr">
        <is>
          <t>out</t>
        </is>
      </c>
    </row>
    <row r="120">
      <c r="A120" s="42" t="inlineStr">
        <is>
          <t>2026-03-12</t>
        </is>
      </c>
      <c r="B120" s="42" t="inlineStr">
        <is>
          <t>SKU-0036</t>
        </is>
      </c>
      <c r="C120" s="42" t="n">
        <v>76</v>
      </c>
      <c r="D120" s="42" t="inlineStr">
        <is>
          <t>out</t>
        </is>
      </c>
    </row>
    <row r="121">
      <c r="A121" t="inlineStr">
        <is>
          <t>2026-04-22</t>
        </is>
      </c>
      <c r="B121" t="inlineStr">
        <is>
          <t>SKU-0004</t>
        </is>
      </c>
      <c r="C121" t="n">
        <v>238</v>
      </c>
      <c r="D121" t="inlineStr">
        <is>
          <t>in</t>
        </is>
      </c>
    </row>
    <row r="122">
      <c r="A122" s="42" t="inlineStr">
        <is>
          <t>2026-05-26</t>
        </is>
      </c>
      <c r="B122" s="42" t="inlineStr">
        <is>
          <t>SKU-0017</t>
        </is>
      </c>
      <c r="C122" s="42" t="n">
        <v>191</v>
      </c>
      <c r="D122" s="42" t="inlineStr">
        <is>
          <t>out</t>
        </is>
      </c>
    </row>
    <row r="123">
      <c r="A123" t="inlineStr">
        <is>
          <t>2026-03-20</t>
        </is>
      </c>
      <c r="B123" t="inlineStr">
        <is>
          <t>SKU-0008</t>
        </is>
      </c>
      <c r="C123" t="n">
        <v>235</v>
      </c>
      <c r="D123" t="inlineStr">
        <is>
          <t>out</t>
        </is>
      </c>
    </row>
    <row r="124">
      <c r="A124" s="42" t="inlineStr">
        <is>
          <t>2026-03-11</t>
        </is>
      </c>
      <c r="B124" s="42" t="inlineStr">
        <is>
          <t>SKU-0037</t>
        </is>
      </c>
      <c r="C124" s="42" t="n">
        <v>250</v>
      </c>
      <c r="D124" s="42" t="inlineStr">
        <is>
          <t>out</t>
        </is>
      </c>
    </row>
    <row r="125">
      <c r="A125" t="inlineStr">
        <is>
          <t>2026-03-01</t>
        </is>
      </c>
      <c r="B125" t="inlineStr">
        <is>
          <t>SKU-0049</t>
        </is>
      </c>
      <c r="C125" t="n">
        <v>275</v>
      </c>
      <c r="D125" t="inlineStr">
        <is>
          <t>in</t>
        </is>
      </c>
    </row>
    <row r="126">
      <c r="A126" s="42" t="inlineStr">
        <is>
          <t>2026-04-02</t>
        </is>
      </c>
      <c r="B126" s="42" t="inlineStr">
        <is>
          <t>SKU-0002</t>
        </is>
      </c>
      <c r="C126" s="42" t="n">
        <v>122</v>
      </c>
      <c r="D126" s="42" t="inlineStr">
        <is>
          <t>in</t>
        </is>
      </c>
    </row>
    <row r="127">
      <c r="A127" t="inlineStr">
        <is>
          <t>2026-05-12</t>
        </is>
      </c>
      <c r="B127" t="inlineStr">
        <is>
          <t>SKU-0010</t>
        </is>
      </c>
      <c r="C127" t="n">
        <v>175</v>
      </c>
      <c r="D127" t="inlineStr">
        <is>
          <t>out</t>
        </is>
      </c>
    </row>
    <row r="128">
      <c r="A128" s="42" t="inlineStr">
        <is>
          <t>2026-04-11</t>
        </is>
      </c>
      <c r="B128" s="42" t="inlineStr">
        <is>
          <t>SKU-0029</t>
        </is>
      </c>
      <c r="C128" s="42" t="n">
        <v>247</v>
      </c>
      <c r="D128" s="42" t="inlineStr">
        <is>
          <t>in</t>
        </is>
      </c>
    </row>
    <row r="129">
      <c r="A129" t="inlineStr">
        <is>
          <t>2026-03-11</t>
        </is>
      </c>
      <c r="B129" t="inlineStr">
        <is>
          <t>SKU-0004</t>
        </is>
      </c>
      <c r="C129" t="n">
        <v>212</v>
      </c>
      <c r="D129" t="inlineStr">
        <is>
          <t>out</t>
        </is>
      </c>
    </row>
    <row r="130">
      <c r="A130" s="42" t="inlineStr">
        <is>
          <t>2026-04-09</t>
        </is>
      </c>
      <c r="B130" s="42" t="inlineStr">
        <is>
          <t>SKU-0012</t>
        </is>
      </c>
      <c r="C130" s="42" t="n">
        <v>90</v>
      </c>
      <c r="D130" s="42" t="inlineStr">
        <is>
          <t>out</t>
        </is>
      </c>
    </row>
    <row r="131">
      <c r="A131" t="inlineStr">
        <is>
          <t>2026-03-24</t>
        </is>
      </c>
      <c r="B131" t="inlineStr">
        <is>
          <t>SKU-0004</t>
        </is>
      </c>
      <c r="C131" t="n">
        <v>111</v>
      </c>
      <c r="D131" t="inlineStr">
        <is>
          <t>out</t>
        </is>
      </c>
    </row>
    <row r="132">
      <c r="A132" s="42" t="inlineStr">
        <is>
          <t>2026-03-01</t>
        </is>
      </c>
      <c r="B132" s="42" t="inlineStr">
        <is>
          <t>SKU-0003</t>
        </is>
      </c>
      <c r="C132" s="42" t="n">
        <v>196</v>
      </c>
      <c r="D132" s="42" t="inlineStr">
        <is>
          <t>in</t>
        </is>
      </c>
    </row>
    <row r="133">
      <c r="A133" t="inlineStr">
        <is>
          <t>2026-03-21</t>
        </is>
      </c>
      <c r="B133" t="inlineStr">
        <is>
          <t>SKU-0039</t>
        </is>
      </c>
      <c r="C133" t="n">
        <v>199</v>
      </c>
      <c r="D133" t="inlineStr">
        <is>
          <t>out</t>
        </is>
      </c>
    </row>
    <row r="134">
      <c r="A134" s="42" t="inlineStr">
        <is>
          <t>2026-04-15</t>
        </is>
      </c>
      <c r="B134" s="42" t="inlineStr">
        <is>
          <t>SKU-0006</t>
        </is>
      </c>
      <c r="C134" s="42" t="n">
        <v>62</v>
      </c>
      <c r="D134" s="42" t="inlineStr">
        <is>
          <t>out</t>
        </is>
      </c>
    </row>
    <row r="135">
      <c r="A135" t="inlineStr">
        <is>
          <t>2026-05-18</t>
        </is>
      </c>
      <c r="B135" t="inlineStr">
        <is>
          <t>SKU-0024</t>
        </is>
      </c>
      <c r="C135" t="n">
        <v>203</v>
      </c>
      <c r="D135" t="inlineStr">
        <is>
          <t>in</t>
        </is>
      </c>
    </row>
    <row r="136">
      <c r="A136" s="42" t="inlineStr">
        <is>
          <t>2026-05-10</t>
        </is>
      </c>
      <c r="B136" s="42" t="inlineStr">
        <is>
          <t>SKU-0032</t>
        </is>
      </c>
      <c r="C136" s="42" t="n">
        <v>175</v>
      </c>
      <c r="D136" s="42" t="inlineStr">
        <is>
          <t>in</t>
        </is>
      </c>
    </row>
    <row r="137">
      <c r="A137" t="inlineStr">
        <is>
          <t>2026-05-13</t>
        </is>
      </c>
      <c r="B137" t="inlineStr">
        <is>
          <t>SKU-0039</t>
        </is>
      </c>
      <c r="C137" t="n">
        <v>57</v>
      </c>
      <c r="D137" t="inlineStr">
        <is>
          <t>in</t>
        </is>
      </c>
    </row>
    <row r="138">
      <c r="A138" s="42" t="inlineStr">
        <is>
          <t>2026-03-01</t>
        </is>
      </c>
      <c r="B138" s="42" t="inlineStr">
        <is>
          <t>SKU-0019</t>
        </is>
      </c>
      <c r="C138" s="42" t="n">
        <v>167</v>
      </c>
      <c r="D138" s="42" t="inlineStr">
        <is>
          <t>out</t>
        </is>
      </c>
    </row>
    <row r="139">
      <c r="A139" t="inlineStr">
        <is>
          <t>2026-03-04</t>
        </is>
      </c>
      <c r="B139" t="inlineStr">
        <is>
          <t>SKU-0009</t>
        </is>
      </c>
      <c r="C139" t="n">
        <v>272</v>
      </c>
      <c r="D139" t="inlineStr">
        <is>
          <t>in</t>
        </is>
      </c>
    </row>
    <row r="140">
      <c r="A140" s="42" t="inlineStr">
        <is>
          <t>2026-03-07</t>
        </is>
      </c>
      <c r="B140" s="42" t="inlineStr">
        <is>
          <t>SKU-0049</t>
        </is>
      </c>
      <c r="C140" s="42" t="n">
        <v>196</v>
      </c>
      <c r="D140" s="42" t="inlineStr">
        <is>
          <t>in</t>
        </is>
      </c>
    </row>
    <row r="141">
      <c r="A141" t="inlineStr">
        <is>
          <t>2026-05-04</t>
        </is>
      </c>
      <c r="B141" t="inlineStr">
        <is>
          <t>SKU-0022</t>
        </is>
      </c>
      <c r="C141" t="n">
        <v>150</v>
      </c>
      <c r="D141" t="inlineStr">
        <is>
          <t>out</t>
        </is>
      </c>
    </row>
    <row r="142">
      <c r="A142" s="42" t="inlineStr">
        <is>
          <t>2026-03-22</t>
        </is>
      </c>
      <c r="B142" s="42" t="inlineStr">
        <is>
          <t>SKU-0007</t>
        </is>
      </c>
      <c r="C142" s="42" t="n">
        <v>196</v>
      </c>
      <c r="D142" s="42" t="inlineStr">
        <is>
          <t>out</t>
        </is>
      </c>
    </row>
    <row r="143">
      <c r="A143" t="inlineStr">
        <is>
          <t>2026-03-07</t>
        </is>
      </c>
      <c r="B143" t="inlineStr">
        <is>
          <t>SKU-0041</t>
        </is>
      </c>
      <c r="C143" t="n">
        <v>192</v>
      </c>
      <c r="D143" t="inlineStr">
        <is>
          <t>in</t>
        </is>
      </c>
    </row>
    <row r="144">
      <c r="A144" s="42" t="inlineStr">
        <is>
          <t>2026-04-04</t>
        </is>
      </c>
      <c r="B144" s="42" t="inlineStr">
        <is>
          <t>SKU-0004</t>
        </is>
      </c>
      <c r="C144" s="42" t="n">
        <v>187</v>
      </c>
      <c r="D144" s="42" t="inlineStr">
        <is>
          <t>in</t>
        </is>
      </c>
    </row>
    <row r="145">
      <c r="A145" t="inlineStr">
        <is>
          <t>2026-04-08</t>
        </is>
      </c>
      <c r="B145" t="inlineStr">
        <is>
          <t>SKU-0013</t>
        </is>
      </c>
      <c r="C145" t="n">
        <v>139</v>
      </c>
      <c r="D145" t="inlineStr">
        <is>
          <t>out</t>
        </is>
      </c>
    </row>
    <row r="146">
      <c r="A146" s="42" t="inlineStr">
        <is>
          <t>2026-04-01</t>
        </is>
      </c>
      <c r="B146" s="42" t="inlineStr">
        <is>
          <t>SKU-0049</t>
        </is>
      </c>
      <c r="C146" s="42" t="n">
        <v>79</v>
      </c>
      <c r="D146" s="42" t="inlineStr">
        <is>
          <t>in</t>
        </is>
      </c>
    </row>
    <row r="147">
      <c r="A147" t="inlineStr">
        <is>
          <t>2026-04-01</t>
        </is>
      </c>
      <c r="B147" t="inlineStr">
        <is>
          <t>SKU-0028</t>
        </is>
      </c>
      <c r="C147" t="n">
        <v>105</v>
      </c>
      <c r="D147" t="inlineStr">
        <is>
          <t>out</t>
        </is>
      </c>
    </row>
    <row r="148">
      <c r="A148" s="42" t="inlineStr">
        <is>
          <t>2026-04-20</t>
        </is>
      </c>
      <c r="B148" s="42" t="inlineStr">
        <is>
          <t>SKU-0050</t>
        </is>
      </c>
      <c r="C148" s="42" t="n">
        <v>238</v>
      </c>
      <c r="D148" s="42" t="inlineStr">
        <is>
          <t>in</t>
        </is>
      </c>
    </row>
    <row r="149">
      <c r="A149" t="inlineStr">
        <is>
          <t>2026-04-20</t>
        </is>
      </c>
      <c r="B149" t="inlineStr">
        <is>
          <t>SKU-0027</t>
        </is>
      </c>
      <c r="C149" t="n">
        <v>272</v>
      </c>
      <c r="D149" t="inlineStr">
        <is>
          <t>out</t>
        </is>
      </c>
    </row>
    <row r="150">
      <c r="A150" s="42" t="inlineStr">
        <is>
          <t>2026-05-04</t>
        </is>
      </c>
      <c r="B150" s="42" t="inlineStr">
        <is>
          <t>SKU-0002</t>
        </is>
      </c>
      <c r="C150" s="42" t="n">
        <v>269</v>
      </c>
      <c r="D150" s="42" t="inlineStr">
        <is>
          <t>out</t>
        </is>
      </c>
    </row>
    <row r="151">
      <c r="A151" t="inlineStr">
        <is>
          <t>2026-05-17</t>
        </is>
      </c>
      <c r="B151" t="inlineStr">
        <is>
          <t>SKU-0009</t>
        </is>
      </c>
      <c r="C151" t="n">
        <v>113</v>
      </c>
      <c r="D151" t="inlineStr">
        <is>
          <t>out</t>
        </is>
      </c>
    </row>
    <row r="152">
      <c r="A152" s="42" t="inlineStr">
        <is>
          <t>2026-03-11</t>
        </is>
      </c>
      <c r="B152" s="42" t="inlineStr">
        <is>
          <t>SKU-0004</t>
        </is>
      </c>
      <c r="C152" s="42" t="n">
        <v>250</v>
      </c>
      <c r="D152" s="42" t="inlineStr">
        <is>
          <t>in</t>
        </is>
      </c>
    </row>
    <row r="153">
      <c r="A153" t="inlineStr">
        <is>
          <t>2026-05-11</t>
        </is>
      </c>
      <c r="B153" t="inlineStr">
        <is>
          <t>SKU-0050</t>
        </is>
      </c>
      <c r="C153" t="n">
        <v>51</v>
      </c>
      <c r="D153" t="inlineStr">
        <is>
          <t>in</t>
        </is>
      </c>
    </row>
    <row r="154">
      <c r="A154" s="42" t="inlineStr">
        <is>
          <t>2026-05-16</t>
        </is>
      </c>
      <c r="B154" s="42" t="inlineStr">
        <is>
          <t>SKU-0035</t>
        </is>
      </c>
      <c r="C154" s="42" t="n">
        <v>274</v>
      </c>
      <c r="D154" s="42" t="inlineStr">
        <is>
          <t>in</t>
        </is>
      </c>
    </row>
    <row r="155">
      <c r="A155" t="inlineStr">
        <is>
          <t>2026-04-18</t>
        </is>
      </c>
      <c r="B155" t="inlineStr">
        <is>
          <t>SKU-0045</t>
        </is>
      </c>
      <c r="C155" t="n">
        <v>68</v>
      </c>
      <c r="D155" t="inlineStr">
        <is>
          <t>in</t>
        </is>
      </c>
    </row>
    <row r="156">
      <c r="A156" s="42" t="inlineStr">
        <is>
          <t>2026-03-07</t>
        </is>
      </c>
      <c r="B156" s="42" t="inlineStr">
        <is>
          <t>SKU-0038</t>
        </is>
      </c>
      <c r="C156" s="42" t="n">
        <v>270</v>
      </c>
      <c r="D156" s="42" t="inlineStr">
        <is>
          <t>in</t>
        </is>
      </c>
    </row>
    <row r="157">
      <c r="A157" t="inlineStr">
        <is>
          <t>2026-05-23</t>
        </is>
      </c>
      <c r="B157" t="inlineStr">
        <is>
          <t>SKU-0005</t>
        </is>
      </c>
      <c r="C157" t="n">
        <v>78</v>
      </c>
      <c r="D157" t="inlineStr">
        <is>
          <t>in</t>
        </is>
      </c>
    </row>
    <row r="158">
      <c r="A158" s="42" t="inlineStr">
        <is>
          <t>2026-03-06</t>
        </is>
      </c>
      <c r="B158" s="42" t="inlineStr">
        <is>
          <t>SKU-0013</t>
        </is>
      </c>
      <c r="C158" s="42" t="n">
        <v>15</v>
      </c>
      <c r="D158" s="42" t="inlineStr">
        <is>
          <t>in</t>
        </is>
      </c>
    </row>
    <row r="159">
      <c r="A159" t="inlineStr">
        <is>
          <t>2026-04-10</t>
        </is>
      </c>
      <c r="B159" t="inlineStr">
        <is>
          <t>SKU-0025</t>
        </is>
      </c>
      <c r="C159" t="n">
        <v>87</v>
      </c>
      <c r="D159" t="inlineStr">
        <is>
          <t>out</t>
        </is>
      </c>
    </row>
    <row r="160">
      <c r="A160" s="42" t="inlineStr">
        <is>
          <t>2026-03-07</t>
        </is>
      </c>
      <c r="B160" s="42" t="inlineStr">
        <is>
          <t>SKU-0005</t>
        </is>
      </c>
      <c r="C160" s="42" t="n">
        <v>258</v>
      </c>
      <c r="D160" s="42" t="inlineStr">
        <is>
          <t>in</t>
        </is>
      </c>
    </row>
    <row r="161">
      <c r="A161" t="inlineStr">
        <is>
          <t>2026-04-05</t>
        </is>
      </c>
      <c r="B161" t="inlineStr">
        <is>
          <t>SKU-0007</t>
        </is>
      </c>
      <c r="C161" t="n">
        <v>239</v>
      </c>
      <c r="D161" t="inlineStr">
        <is>
          <t>in</t>
        </is>
      </c>
    </row>
    <row r="162">
      <c r="A162" s="42" t="inlineStr">
        <is>
          <t>2026-04-22</t>
        </is>
      </c>
      <c r="B162" s="42" t="inlineStr">
        <is>
          <t>SKU-0049</t>
        </is>
      </c>
      <c r="C162" s="42" t="n">
        <v>120</v>
      </c>
      <c r="D162" s="42" t="inlineStr">
        <is>
          <t>in</t>
        </is>
      </c>
    </row>
    <row r="163">
      <c r="A163" t="inlineStr">
        <is>
          <t>2026-03-24</t>
        </is>
      </c>
      <c r="B163" t="inlineStr">
        <is>
          <t>SKU-0030</t>
        </is>
      </c>
      <c r="C163" t="n">
        <v>162</v>
      </c>
      <c r="D163" t="inlineStr">
        <is>
          <t>out</t>
        </is>
      </c>
    </row>
    <row r="164">
      <c r="A164" s="42" t="inlineStr">
        <is>
          <t>2026-04-12</t>
        </is>
      </c>
      <c r="B164" s="42" t="inlineStr">
        <is>
          <t>SKU-0049</t>
        </is>
      </c>
      <c r="C164" s="42" t="n">
        <v>163</v>
      </c>
      <c r="D164" s="42" t="inlineStr">
        <is>
          <t>out</t>
        </is>
      </c>
    </row>
    <row r="165">
      <c r="A165" t="inlineStr">
        <is>
          <t>2026-05-17</t>
        </is>
      </c>
      <c r="B165" t="inlineStr">
        <is>
          <t>SKU-0016</t>
        </is>
      </c>
      <c r="C165" t="n">
        <v>75</v>
      </c>
      <c r="D165" t="inlineStr">
        <is>
          <t>in</t>
        </is>
      </c>
    </row>
    <row r="166">
      <c r="A166" s="42" t="inlineStr">
        <is>
          <t>2026-03-26</t>
        </is>
      </c>
      <c r="B166" s="42" t="inlineStr">
        <is>
          <t>SKU-0026</t>
        </is>
      </c>
      <c r="C166" s="42" t="n">
        <v>14</v>
      </c>
      <c r="D166" s="42" t="inlineStr">
        <is>
          <t>out</t>
        </is>
      </c>
    </row>
    <row r="167">
      <c r="A167" t="inlineStr">
        <is>
          <t>2026-03-15</t>
        </is>
      </c>
      <c r="B167" t="inlineStr">
        <is>
          <t>SKU-0026</t>
        </is>
      </c>
      <c r="C167" t="n">
        <v>200</v>
      </c>
      <c r="D167" t="inlineStr">
        <is>
          <t>out</t>
        </is>
      </c>
    </row>
    <row r="168">
      <c r="A168" s="42" t="inlineStr">
        <is>
          <t>2026-05-04</t>
        </is>
      </c>
      <c r="B168" s="42" t="inlineStr">
        <is>
          <t>SKU-0006</t>
        </is>
      </c>
      <c r="C168" s="42" t="n">
        <v>101</v>
      </c>
      <c r="D168" s="42" t="inlineStr">
        <is>
          <t>out</t>
        </is>
      </c>
    </row>
    <row r="169">
      <c r="A169" t="inlineStr">
        <is>
          <t>2026-05-23</t>
        </is>
      </c>
      <c r="B169" t="inlineStr">
        <is>
          <t>SKU-0002</t>
        </is>
      </c>
      <c r="C169" t="n">
        <v>163</v>
      </c>
      <c r="D169" t="inlineStr">
        <is>
          <t>in</t>
        </is>
      </c>
    </row>
    <row r="170">
      <c r="A170" s="42" t="inlineStr">
        <is>
          <t>2026-03-12</t>
        </is>
      </c>
      <c r="B170" s="42" t="inlineStr">
        <is>
          <t>SKU-0039</t>
        </is>
      </c>
      <c r="C170" s="42" t="n">
        <v>150</v>
      </c>
      <c r="D170" s="42" t="inlineStr">
        <is>
          <t>in</t>
        </is>
      </c>
    </row>
    <row r="171">
      <c r="A171" t="inlineStr">
        <is>
          <t>2026-04-25</t>
        </is>
      </c>
      <c r="B171" t="inlineStr">
        <is>
          <t>SKU-0012</t>
        </is>
      </c>
      <c r="C171" t="n">
        <v>231</v>
      </c>
      <c r="D171" t="inlineStr">
        <is>
          <t>in</t>
        </is>
      </c>
    </row>
    <row r="172">
      <c r="A172" s="42" t="inlineStr">
        <is>
          <t>2026-04-02</t>
        </is>
      </c>
      <c r="B172" s="42" t="inlineStr">
        <is>
          <t>SKU-0016</t>
        </is>
      </c>
      <c r="C172" s="42" t="n">
        <v>88</v>
      </c>
      <c r="D172" s="42" t="inlineStr">
        <is>
          <t>out</t>
        </is>
      </c>
    </row>
    <row r="173">
      <c r="A173" t="inlineStr">
        <is>
          <t>2026-04-04</t>
        </is>
      </c>
      <c r="B173" t="inlineStr">
        <is>
          <t>SKU-0047</t>
        </is>
      </c>
      <c r="C173" t="n">
        <v>74</v>
      </c>
      <c r="D173" t="inlineStr">
        <is>
          <t>in</t>
        </is>
      </c>
    </row>
    <row r="174">
      <c r="A174" s="42" t="inlineStr">
        <is>
          <t>2026-03-13</t>
        </is>
      </c>
      <c r="B174" s="42" t="inlineStr">
        <is>
          <t>SKU-0009</t>
        </is>
      </c>
      <c r="C174" s="42" t="n">
        <v>72</v>
      </c>
      <c r="D174" s="42" t="inlineStr">
        <is>
          <t>in</t>
        </is>
      </c>
    </row>
    <row r="175">
      <c r="A175" t="inlineStr">
        <is>
          <t>2026-05-09</t>
        </is>
      </c>
      <c r="B175" t="inlineStr">
        <is>
          <t>SKU-0037</t>
        </is>
      </c>
      <c r="C175" t="n">
        <v>174</v>
      </c>
      <c r="D175" t="inlineStr">
        <is>
          <t>in</t>
        </is>
      </c>
    </row>
    <row r="176">
      <c r="A176" s="42" t="inlineStr">
        <is>
          <t>2026-03-28</t>
        </is>
      </c>
      <c r="B176" s="42" t="inlineStr">
        <is>
          <t>SKU-0009</t>
        </is>
      </c>
      <c r="C176" s="42" t="n">
        <v>162</v>
      </c>
      <c r="D176" s="42" t="inlineStr">
        <is>
          <t>out</t>
        </is>
      </c>
    </row>
    <row r="177">
      <c r="A177" t="inlineStr">
        <is>
          <t>2026-05-16</t>
        </is>
      </c>
      <c r="B177" t="inlineStr">
        <is>
          <t>SKU-0012</t>
        </is>
      </c>
      <c r="C177" t="n">
        <v>204</v>
      </c>
      <c r="D177" t="inlineStr">
        <is>
          <t>in</t>
        </is>
      </c>
    </row>
    <row r="178">
      <c r="A178" s="42" t="inlineStr">
        <is>
          <t>2026-05-20</t>
        </is>
      </c>
      <c r="B178" s="42" t="inlineStr">
        <is>
          <t>SKU-0018</t>
        </is>
      </c>
      <c r="C178" s="42" t="n">
        <v>162</v>
      </c>
      <c r="D178" s="42" t="inlineStr">
        <is>
          <t>out</t>
        </is>
      </c>
    </row>
    <row r="179">
      <c r="A179" t="inlineStr">
        <is>
          <t>2026-05-05</t>
        </is>
      </c>
      <c r="B179" t="inlineStr">
        <is>
          <t>SKU-0031</t>
        </is>
      </c>
      <c r="C179" t="n">
        <v>85</v>
      </c>
      <c r="D179" t="inlineStr">
        <is>
          <t>out</t>
        </is>
      </c>
    </row>
    <row r="180">
      <c r="A180" s="42" t="inlineStr">
        <is>
          <t>2026-05-14</t>
        </is>
      </c>
      <c r="B180" s="42" t="inlineStr">
        <is>
          <t>SKU-0043</t>
        </is>
      </c>
      <c r="C180" s="42" t="n">
        <v>96</v>
      </c>
      <c r="D180" s="42" t="inlineStr">
        <is>
          <t>out</t>
        </is>
      </c>
    </row>
    <row r="181">
      <c r="A181" t="inlineStr">
        <is>
          <t>2026-04-22</t>
        </is>
      </c>
      <c r="B181" t="inlineStr">
        <is>
          <t>SKU-0021</t>
        </is>
      </c>
      <c r="C181" t="n">
        <v>288</v>
      </c>
      <c r="D181" t="inlineStr">
        <is>
          <t>in</t>
        </is>
      </c>
    </row>
    <row r="182">
      <c r="A182" s="42" t="inlineStr">
        <is>
          <t>2026-03-15</t>
        </is>
      </c>
      <c r="B182" s="42" t="inlineStr">
        <is>
          <t>SKU-0047</t>
        </is>
      </c>
      <c r="C182" s="42" t="n">
        <v>48</v>
      </c>
      <c r="D182" s="42" t="inlineStr">
        <is>
          <t>in</t>
        </is>
      </c>
    </row>
    <row r="183">
      <c r="A183" t="inlineStr">
        <is>
          <t>2026-03-04</t>
        </is>
      </c>
      <c r="B183" t="inlineStr">
        <is>
          <t>SKU-0030</t>
        </is>
      </c>
      <c r="C183" t="n">
        <v>214</v>
      </c>
      <c r="D183" t="inlineStr">
        <is>
          <t>in</t>
        </is>
      </c>
    </row>
    <row r="184">
      <c r="A184" s="42" t="inlineStr">
        <is>
          <t>2026-04-24</t>
        </is>
      </c>
      <c r="B184" s="42" t="inlineStr">
        <is>
          <t>SKU-0029</t>
        </is>
      </c>
      <c r="C184" s="42" t="n">
        <v>228</v>
      </c>
      <c r="D184" s="42" t="inlineStr">
        <is>
          <t>out</t>
        </is>
      </c>
    </row>
    <row r="185">
      <c r="A185" t="inlineStr">
        <is>
          <t>2026-05-03</t>
        </is>
      </c>
      <c r="B185" t="inlineStr">
        <is>
          <t>SKU-0031</t>
        </is>
      </c>
      <c r="C185" t="n">
        <v>260</v>
      </c>
      <c r="D185" t="inlineStr">
        <is>
          <t>out</t>
        </is>
      </c>
    </row>
    <row r="186">
      <c r="A186" s="42" t="inlineStr">
        <is>
          <t>2026-03-24</t>
        </is>
      </c>
      <c r="B186" s="42" t="inlineStr">
        <is>
          <t>SKU-0008</t>
        </is>
      </c>
      <c r="C186" s="42" t="n">
        <v>132</v>
      </c>
      <c r="D186" s="42" t="inlineStr">
        <is>
          <t>out</t>
        </is>
      </c>
    </row>
    <row r="187">
      <c r="A187" t="inlineStr">
        <is>
          <t>2026-03-14</t>
        </is>
      </c>
      <c r="B187" t="inlineStr">
        <is>
          <t>SKU-0029</t>
        </is>
      </c>
      <c r="C187" t="n">
        <v>235</v>
      </c>
      <c r="D187" t="inlineStr">
        <is>
          <t>in</t>
        </is>
      </c>
    </row>
    <row r="188">
      <c r="A188" s="42" t="inlineStr">
        <is>
          <t>2026-03-03</t>
        </is>
      </c>
      <c r="B188" s="42" t="inlineStr">
        <is>
          <t>SKU-0027</t>
        </is>
      </c>
      <c r="C188" s="42" t="n">
        <v>63</v>
      </c>
      <c r="D188" s="42" t="inlineStr">
        <is>
          <t>in</t>
        </is>
      </c>
    </row>
    <row r="189">
      <c r="A189" t="inlineStr">
        <is>
          <t>2026-04-11</t>
        </is>
      </c>
      <c r="B189" t="inlineStr">
        <is>
          <t>SKU-0033</t>
        </is>
      </c>
      <c r="C189" t="n">
        <v>298</v>
      </c>
      <c r="D189" t="inlineStr">
        <is>
          <t>out</t>
        </is>
      </c>
    </row>
    <row r="190">
      <c r="A190" s="42" t="inlineStr">
        <is>
          <t>2026-04-02</t>
        </is>
      </c>
      <c r="B190" s="42" t="inlineStr">
        <is>
          <t>SKU-0007</t>
        </is>
      </c>
      <c r="C190" s="42" t="n">
        <v>25</v>
      </c>
      <c r="D190" s="42" t="inlineStr">
        <is>
          <t>out</t>
        </is>
      </c>
    </row>
    <row r="191">
      <c r="A191" t="inlineStr">
        <is>
          <t>2026-03-24</t>
        </is>
      </c>
      <c r="B191" t="inlineStr">
        <is>
          <t>SKU-0033</t>
        </is>
      </c>
      <c r="C191" t="n">
        <v>141</v>
      </c>
      <c r="D191" t="inlineStr">
        <is>
          <t>out</t>
        </is>
      </c>
    </row>
    <row r="192">
      <c r="A192" s="42" t="inlineStr">
        <is>
          <t>2026-03-08</t>
        </is>
      </c>
      <c r="B192" s="42" t="inlineStr">
        <is>
          <t>SKU-0032</t>
        </is>
      </c>
      <c r="C192" s="42" t="n">
        <v>250</v>
      </c>
      <c r="D192" s="42" t="inlineStr">
        <is>
          <t>out</t>
        </is>
      </c>
    </row>
    <row r="193">
      <c r="A193" t="inlineStr">
        <is>
          <t>2026-04-05</t>
        </is>
      </c>
      <c r="B193" t="inlineStr">
        <is>
          <t>SKU-0009</t>
        </is>
      </c>
      <c r="C193" t="n">
        <v>194</v>
      </c>
      <c r="D193" t="inlineStr">
        <is>
          <t>in</t>
        </is>
      </c>
    </row>
    <row r="194">
      <c r="A194" s="42" t="inlineStr">
        <is>
          <t>2026-03-08</t>
        </is>
      </c>
      <c r="B194" s="42" t="inlineStr">
        <is>
          <t>SKU-0014</t>
        </is>
      </c>
      <c r="C194" s="42" t="n">
        <v>206</v>
      </c>
      <c r="D194" s="42" t="inlineStr">
        <is>
          <t>out</t>
        </is>
      </c>
    </row>
    <row r="195">
      <c r="A195" t="inlineStr">
        <is>
          <t>2026-04-26</t>
        </is>
      </c>
      <c r="B195" t="inlineStr">
        <is>
          <t>SKU-0045</t>
        </is>
      </c>
      <c r="C195" t="n">
        <v>139</v>
      </c>
      <c r="D195" t="inlineStr">
        <is>
          <t>in</t>
        </is>
      </c>
    </row>
    <row r="196">
      <c r="A196" s="42" t="inlineStr">
        <is>
          <t>2026-04-09</t>
        </is>
      </c>
      <c r="B196" s="42" t="inlineStr">
        <is>
          <t>SKU-0030</t>
        </is>
      </c>
      <c r="C196" s="42" t="n">
        <v>272</v>
      </c>
      <c r="D196" s="42" t="inlineStr">
        <is>
          <t>out</t>
        </is>
      </c>
    </row>
    <row r="197">
      <c r="A197" t="inlineStr">
        <is>
          <t>2026-05-06</t>
        </is>
      </c>
      <c r="B197" t="inlineStr">
        <is>
          <t>SKU-0030</t>
        </is>
      </c>
      <c r="C197" t="n">
        <v>56</v>
      </c>
      <c r="D197" t="inlineStr">
        <is>
          <t>out</t>
        </is>
      </c>
    </row>
    <row r="198">
      <c r="A198" s="42" t="inlineStr">
        <is>
          <t>2026-03-19</t>
        </is>
      </c>
      <c r="B198" s="42" t="inlineStr">
        <is>
          <t>SKU-0035</t>
        </is>
      </c>
      <c r="C198" s="42" t="n">
        <v>199</v>
      </c>
      <c r="D198" s="42" t="inlineStr">
        <is>
          <t>in</t>
        </is>
      </c>
    </row>
    <row r="199">
      <c r="A199" t="inlineStr">
        <is>
          <t>2026-05-19</t>
        </is>
      </c>
      <c r="B199" t="inlineStr">
        <is>
          <t>SKU-0037</t>
        </is>
      </c>
      <c r="C199" t="n">
        <v>256</v>
      </c>
      <c r="D199" t="inlineStr">
        <is>
          <t>in</t>
        </is>
      </c>
    </row>
    <row r="200">
      <c r="A200" s="42" t="inlineStr">
        <is>
          <t>2026-04-05</t>
        </is>
      </c>
      <c r="B200" s="42" t="inlineStr">
        <is>
          <t>SKU-0001</t>
        </is>
      </c>
      <c r="C200" s="42" t="n">
        <v>295</v>
      </c>
      <c r="D200" s="42" t="inlineStr">
        <is>
          <t>in</t>
        </is>
      </c>
    </row>
    <row r="201">
      <c r="A201" t="inlineStr">
        <is>
          <t>2026-04-09</t>
        </is>
      </c>
      <c r="B201" t="inlineStr">
        <is>
          <t>SKU-0011</t>
        </is>
      </c>
      <c r="C201" t="n">
        <v>148</v>
      </c>
      <c r="D201" t="inlineStr">
        <is>
          <t>in</t>
        </is>
      </c>
    </row>
  </sheetData>
  <dataValidations count="1">
    <dataValidation sqref="D2:D201" showDropDown="0" showInputMessage="0" showErrorMessage="1" allowBlank="0" errorTitle="Invalid type" error="Type must be 'in' or 'out'." type="list">
      <formula1>"in,out"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E6"/>
  <sheetViews>
    <sheetView workbookViewId="0">
      <selection activeCell="A1" sqref="A1"/>
    </sheetView>
  </sheetViews>
  <sheetFormatPr baseColWidth="8" defaultRowHeight="15"/>
  <sheetData>
    <row r="1">
      <c r="A1" s="41" t="inlineStr">
        <is>
          <t>param_id</t>
        </is>
      </c>
      <c r="B1" s="41" t="inlineStr">
        <is>
          <t>name</t>
        </is>
      </c>
      <c r="C1" s="41" t="inlineStr">
        <is>
          <t>value</t>
        </is>
      </c>
      <c r="D1" s="41" t="inlineStr">
        <is>
          <t>unit</t>
        </is>
      </c>
      <c r="E1" s="41" t="inlineStr">
        <is>
          <t>notes</t>
        </is>
      </c>
    </row>
    <row r="2">
      <c r="A2" s="42" t="inlineStr">
        <is>
          <t>SAFETY_FACTOR</t>
        </is>
      </c>
      <c r="B2" s="42" t="inlineStr">
        <is>
          <t>Safety stock z-multiplier</t>
        </is>
      </c>
      <c r="C2" s="42" t="n">
        <v>1.65</v>
      </c>
      <c r="D2" s="42" t="inlineStr">
        <is>
          <t>ratio</t>
        </is>
      </c>
      <c r="E2" s="42" t="inlineStr">
        <is>
          <t>95% service level</t>
        </is>
      </c>
    </row>
    <row r="3">
      <c r="A3" t="inlineStr">
        <is>
          <t>ANNUAL_HOLDING_RATE</t>
        </is>
      </c>
      <c r="B3" t="inlineStr">
        <is>
          <t>Holding cost rate</t>
        </is>
      </c>
      <c r="C3" t="n">
        <v>0.2</v>
      </c>
      <c r="D3" t="inlineStr">
        <is>
          <t>ratio/yr</t>
        </is>
      </c>
      <c r="E3" t="inlineStr">
        <is>
          <t>Capital + storage</t>
        </is>
      </c>
    </row>
    <row r="4">
      <c r="A4" s="42" t="inlineStr">
        <is>
          <t>ORDER_COST</t>
        </is>
      </c>
      <c r="B4" s="42" t="inlineStr">
        <is>
          <t>Cost per purchase order</t>
        </is>
      </c>
      <c r="C4" s="42" t="n">
        <v>50</v>
      </c>
      <c r="D4" s="42" t="inlineStr">
        <is>
          <t>USD</t>
        </is>
      </c>
      <c r="E4" s="42" t="inlineStr">
        <is>
          <t>Admin overhead</t>
        </is>
      </c>
    </row>
    <row r="5">
      <c r="A5" t="inlineStr">
        <is>
          <t>ANNUAL_DEMAND_DEFAULT</t>
        </is>
      </c>
      <c r="B5" t="inlineStr">
        <is>
          <t>Default annual demand</t>
        </is>
      </c>
      <c r="C5" t="n">
        <v>1000</v>
      </c>
      <c r="D5" t="inlineStr">
        <is>
          <t>units/yr</t>
        </is>
      </c>
      <c r="E5" t="inlineStr">
        <is>
          <t>Used when SKU lacks history</t>
        </is>
      </c>
    </row>
    <row r="6">
      <c r="A6" s="42" t="inlineStr">
        <is>
          <t>SERVICE_LEVEL_Z</t>
        </is>
      </c>
      <c r="B6" s="42" t="inlineStr">
        <is>
          <t>Z-score for service level</t>
        </is>
      </c>
      <c r="C6" s="42" t="n">
        <v>1.96</v>
      </c>
      <c r="D6" s="42" t="inlineStr">
        <is>
          <t>ratio</t>
        </is>
      </c>
      <c r="E6" s="42" t="inlineStr">
        <is>
          <t>97.5% one-tail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Tim Hall</dc:creator>
  <dcterms:created xsi:type="dcterms:W3CDTF">2026-05-09T00:00:00Z</dcterms:created>
  <dcterms:modified xsi:type="dcterms:W3CDTF">2026-05-09T00:00:00Z</dcterms:modified>
  <cp:lastModifiedBy>Tim Hall &lt;tim.hall.engr@gmail.com&gt;</cp:lastModifiedBy>
</cp:coreProperties>
</file>