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trlProps/ctrlProp8.xml" ContentType="application/vnd.ms-excel.control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990" tabRatio="600" firstSheet="0" activeTab="0" autoFilterDateGrouping="1"/>
  </bookViews>
  <sheets>
    <sheet name="Routes" sheetId="1" state="visible" r:id="rId1"/>
    <sheet name="Vehicles" sheetId="2" state="visible" r:id="rId2"/>
    <sheet name="Shipments" sheetId="3" state="visible" r:id="rId3"/>
    <sheet name="Customers" sheetId="4" state="visible" r:id="rId4"/>
    <sheet name="订单" sheetId="5" state="visible" r:id="rId5"/>
    <sheet name="_constants" sheetId="6" state="veryHidden" r:id="rId6"/>
  </sheets>
  <definedNames>
    <definedName name="MAX_VEHICLES">_constants!$C$2</definedName>
    <definedName name="SPEED_KMH">_constants!$C$3</definedName>
    <definedName name="SERVICE_TIME_MIN">_constants!$C$4</definedName>
    <definedName name="MAX_STOPS_PER_ROUTE">_constants!$C$5</definedName>
    <definedName name="FUEL_PRICE">_constants!$C$6</definedName>
    <definedName name="DRIVER_SHIFT_HOURS">_constants!$C$7</definedName>
  </definedNames>
  <calcPr calcId="191029" fullCalcOnLoad="1" concurrentCalc="0"/>
</workbook>
</file>

<file path=xl/styles.xml><?xml version="1.0" encoding="utf-8"?>
<styleSheet xmlns="http://schemas.openxmlformats.org/spreadsheetml/2006/main">
  <numFmts count="0"/>
  <fonts count="12">
    <font>
      <name val="Calibri"/>
      <family val="2"/>
      <color theme="1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8"/>
      <scheme val="minor"/>
    </font>
    <font>
      <name val="Calibri"/>
      <family val="2"/>
      <color rgb="FF000000"/>
      <sz val="11"/>
    </font>
    <font>
      <name val="Calibri"/>
      <family val="2"/>
      <color theme="0"/>
      <sz val="11"/>
      <scheme val="minor"/>
    </font>
    <font>
      <name val="Calibri"/>
      <family val="2"/>
      <color theme="0" tint="-0.499984740745262"/>
      <sz val="11"/>
      <scheme val="minor"/>
    </font>
    <font>
      <name val="Segoe UI"/>
      <family val="2"/>
      <color rgb="FF000000"/>
      <sz val="8"/>
    </font>
    <font>
      <name val="Calibri"/>
      <family val="2"/>
      <color rgb="FF000000"/>
      <sz val="8"/>
      <scheme val="minor"/>
    </font>
    <font>
      <name val="Calibri"/>
      <family val="2"/>
      <color theme="1"/>
      <sz val="8"/>
      <scheme val="minor"/>
    </font>
    <font>
      <name val="Arial"/>
      <family val="2"/>
      <color rgb="FF000000"/>
      <sz val="10"/>
    </font>
    <font>
      <b val="1"/>
      <color rgb="00FFFFFF"/>
    </font>
  </fonts>
  <fills count="6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00305496"/>
      </patternFill>
    </fill>
    <fill>
      <patternFill patternType="solid">
        <fgColor rgb="00D9E1F2"/>
      </patternFill>
    </fill>
  </fills>
  <borders count="18">
    <border>
      <left/>
      <right/>
      <top/>
      <bottom/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6" tint="-0.249946592608417"/>
      </left>
      <right style="thin">
        <color theme="6" tint="-0.249946592608417"/>
      </right>
      <top style="thin">
        <color theme="6" tint="-0.249946592608417"/>
      </top>
      <bottom style="thin">
        <color theme="6" tint="-0.249946592608417"/>
      </bottom>
      <diagonal/>
    </border>
    <border>
      <left style="thin">
        <color theme="6" tint="-0.249946592608417"/>
      </left>
      <right/>
      <top style="thin">
        <color theme="6" tint="-0.249946592608417"/>
      </top>
      <bottom/>
      <diagonal/>
    </border>
    <border>
      <left/>
      <right/>
      <top style="thin">
        <color theme="6" tint="-0.249946592608417"/>
      </top>
      <bottom/>
      <diagonal/>
    </border>
    <border>
      <left/>
      <right style="thin">
        <color theme="6" tint="-0.249946592608417"/>
      </right>
      <top style="thin">
        <color theme="6" tint="-0.249946592608417"/>
      </top>
      <bottom/>
      <diagonal/>
    </border>
    <border>
      <left style="thin">
        <color theme="6" tint="-0.249946592608417"/>
      </left>
      <right/>
      <top/>
      <bottom/>
      <diagonal/>
    </border>
    <border>
      <left/>
      <right style="thin">
        <color theme="6" tint="-0.249946592608417"/>
      </right>
      <top/>
      <bottom/>
      <diagonal/>
    </border>
    <border>
      <left style="thin">
        <color theme="6" tint="-0.249946592608417"/>
      </left>
      <right/>
      <top/>
      <bottom style="thin">
        <color theme="6" tint="-0.249946592608417"/>
      </bottom>
      <diagonal/>
    </border>
    <border>
      <left/>
      <right/>
      <top/>
      <bottom style="thin">
        <color theme="6" tint="-0.249946592608417"/>
      </bottom>
      <diagonal/>
    </border>
    <border>
      <left/>
      <right style="thin">
        <color theme="6" tint="-0.249946592608417"/>
      </right>
      <top/>
      <bottom style="thin">
        <color theme="6" tint="-0.249946592608417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rgb="00AAAAAA"/>
      </left>
      <right style="thin">
        <color rgb="00AAAAAA"/>
      </right>
      <top style="thin">
        <color rgb="00AAAAAA"/>
      </top>
      <bottom style="thin">
        <color rgb="00AAAAAA"/>
      </bottom>
    </border>
  </borders>
  <cellStyleXfs count="1">
    <xf numFmtId="0" fontId="0" fillId="0" borderId="0"/>
  </cellStyleXfs>
  <cellXfs count="43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6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0" fillId="2" borderId="3" applyAlignment="1" pivotButton="0" quotePrefix="0" xfId="0">
      <alignment vertical="center"/>
    </xf>
    <xf numFmtId="0" fontId="1" fillId="2" borderId="4" applyAlignment="1" pivotButton="0" quotePrefix="0" xfId="0">
      <alignment horizontal="center" vertical="center"/>
    </xf>
    <xf numFmtId="0" fontId="0" fillId="2" borderId="5" applyAlignment="1" pivotButton="0" quotePrefix="0" xfId="0">
      <alignment vertical="center"/>
    </xf>
    <xf numFmtId="0" fontId="0" fillId="2" borderId="6" applyAlignment="1" pivotButton="0" quotePrefix="0" xfId="0">
      <alignment vertical="center"/>
    </xf>
    <xf numFmtId="0" fontId="2" fillId="2" borderId="0" applyAlignment="1" pivotButton="0" quotePrefix="0" xfId="0">
      <alignment horizontal="center" vertical="center"/>
    </xf>
    <xf numFmtId="0" fontId="0" fillId="2" borderId="7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indent="1"/>
    </xf>
    <xf numFmtId="0" fontId="3" fillId="2" borderId="0" applyAlignment="1" pivotButton="0" quotePrefix="0" xfId="0">
      <alignment horizontal="center" vertical="center"/>
    </xf>
    <xf numFmtId="0" fontId="0" fillId="2" borderId="8" applyAlignment="1" pivotButton="0" quotePrefix="0" xfId="0">
      <alignment vertical="center"/>
    </xf>
    <xf numFmtId="0" fontId="0" fillId="2" borderId="9" applyAlignment="1" pivotButton="0" quotePrefix="0" xfId="0">
      <alignment vertical="center"/>
    </xf>
    <xf numFmtId="0" fontId="0" fillId="2" borderId="10" applyAlignment="1" pivotButton="0" quotePrefix="0" xfId="0">
      <alignment vertical="center"/>
    </xf>
    <xf numFmtId="0" fontId="0" fillId="0" borderId="2" applyAlignment="1" pivotButton="0" quotePrefix="0" xfId="0">
      <alignment horizontal="left" vertical="center" indent="1"/>
    </xf>
    <xf numFmtId="0" fontId="0" fillId="3" borderId="1" applyAlignment="1" pivotButton="0" quotePrefix="0" xfId="0">
      <alignment vertical="center"/>
    </xf>
    <xf numFmtId="0" fontId="0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center"/>
    </xf>
    <xf numFmtId="0" fontId="1" fillId="0" borderId="0" pivotButton="0" quotePrefix="0" xfId="0"/>
    <xf numFmtId="0" fontId="0" fillId="0" borderId="0" applyAlignment="1" pivotButton="0" quotePrefix="0" xfId="0">
      <alignment horizontal="right" indent="1"/>
    </xf>
    <xf numFmtId="0" fontId="0" fillId="0" borderId="13" applyAlignment="1" pivotButton="0" quotePrefix="0" xfId="0">
      <alignment horizontal="right" indent="1"/>
    </xf>
    <xf numFmtId="0" fontId="0" fillId="0" borderId="14" applyAlignment="1" pivotButton="0" quotePrefix="0" xfId="0">
      <alignment horizontal="right" indent="1"/>
    </xf>
    <xf numFmtId="0" fontId="5" fillId="0" borderId="0" pivotButton="0" quotePrefix="0" xfId="0"/>
    <xf numFmtId="49" fontId="8" fillId="0" borderId="13" applyAlignment="1" pivotButton="0" quotePrefix="0" xfId="0">
      <alignment horizontal="left"/>
    </xf>
    <xf numFmtId="49" fontId="9" fillId="0" borderId="14" pivotButton="0" quotePrefix="0" xfId="0"/>
    <xf numFmtId="0" fontId="0" fillId="0" borderId="0" applyAlignment="1" pivotButton="0" quotePrefix="0" xfId="0">
      <alignment horizontal="right" vertical="center" indent="1"/>
    </xf>
    <xf numFmtId="0" fontId="0" fillId="0" borderId="0" applyAlignment="1" pivotButton="0" quotePrefix="0" xfId="0">
      <alignment horizontal="left" vertical="center" indent="1"/>
    </xf>
    <xf numFmtId="14" fontId="0" fillId="3" borderId="0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right" vertical="top" indent="1"/>
    </xf>
    <xf numFmtId="0" fontId="0" fillId="0" borderId="0" applyAlignment="1" pivotButton="0" quotePrefix="0" xfId="0">
      <alignment horizontal="left" vertical="top" wrapText="1"/>
    </xf>
    <xf numFmtId="0" fontId="10" fillId="0" borderId="0" pivotButton="0" quotePrefix="0" xfId="0"/>
    <xf numFmtId="0" fontId="0" fillId="0" borderId="0" applyAlignment="1" pivotButton="0" quotePrefix="0" xfId="0">
      <alignment wrapText="1"/>
    </xf>
    <xf numFmtId="0" fontId="0" fillId="0" borderId="15" applyAlignment="1" pivotButton="0" quotePrefix="0" xfId="0">
      <alignment vertical="center"/>
    </xf>
    <xf numFmtId="0" fontId="6" fillId="0" borderId="0" pivotButton="0" quotePrefix="0" xfId="0"/>
    <xf numFmtId="0" fontId="1" fillId="0" borderId="11" applyAlignment="1" pivotButton="0" quotePrefix="0" xfId="0">
      <alignment horizontal="center" vertical="center"/>
    </xf>
    <xf numFmtId="0" fontId="1" fillId="0" borderId="12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1" fillId="4" borderId="17" applyAlignment="1" pivotButton="0" quotePrefix="0" xfId="0">
      <alignment horizontal="center" vertical="center"/>
    </xf>
    <xf numFmtId="0" fontId="0" fillId="5" borderId="0" pivotButton="0" quotePrefix="0" xfId="0"/>
  </cellXfs>
  <cellStyles count="1">
    <cellStyle name="Normal" xfId="0" builtinId="0"/>
  </cellStyles>
  <dxfs count="1">
    <dxf>
      <font>
        <color rgb="009C0006"/>
      </font>
      <fill>
        <patternFill patternType="solid">
          <fgColor rgb="00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F31"/>
  <sheetViews>
    <sheetView workbookViewId="0">
      <selection activeCell="A1" sqref="A1"/>
    </sheetView>
  </sheetViews>
  <sheetFormatPr baseColWidth="8" defaultRowHeight="15"/>
  <sheetData>
    <row r="1">
      <c r="A1" s="41" t="inlineStr">
        <is>
          <t>RouteID</t>
        </is>
      </c>
      <c r="B1" s="41" t="inlineStr">
        <is>
          <t>AssignedVehicle</t>
        </is>
      </c>
      <c r="C1" s="41" t="inlineStr">
        <is>
          <t>DistanceKm</t>
        </is>
      </c>
      <c r="D1" s="41" t="inlineStr">
        <is>
          <t>TotalStops</t>
        </is>
      </c>
      <c r="E1" s="41" t="inlineStr">
        <is>
          <t>EstimatedTimeHours</t>
        </is>
      </c>
      <c r="F1" s="41" t="inlineStr">
        <is>
          <t>CapacityUtilization</t>
        </is>
      </c>
    </row>
    <row r="2">
      <c r="A2" s="42" t="inlineStr">
        <is>
          <t>R001</t>
        </is>
      </c>
      <c r="B2" s="42" t="inlineStr">
        <is>
          <t>V013</t>
        </is>
      </c>
      <c r="C2" s="42" t="n">
        <v>148</v>
      </c>
      <c r="D2" s="42" t="n">
        <v>6</v>
      </c>
      <c r="E2" s="42">
        <f>C2/SPEED_KMH+D2*SERVICE_TIME_MIN/60</f>
        <v/>
      </c>
      <c r="F2" s="42">
        <f>SUMIFS(Shipments!$C$2:$C$101,Shipments!$D$2:$D$101,A2)/IFERROR(VLOOKUP(B2,Vehicles!$A$2:$B$16,2,FALSE),1)</f>
        <v/>
      </c>
    </row>
    <row r="3">
      <c r="A3" t="inlineStr">
        <is>
          <t>R002</t>
        </is>
      </c>
      <c r="B3" t="inlineStr">
        <is>
          <t>V007</t>
        </is>
      </c>
      <c r="C3" t="n">
        <v>179</v>
      </c>
      <c r="D3" t="n">
        <v>16</v>
      </c>
      <c r="E3">
        <f>C3/SPEED_KMH+D3*SERVICE_TIME_MIN/60</f>
        <v/>
      </c>
      <c r="F3">
        <f>SUMIFS(Shipments!$C$2:$C$101,Shipments!$D$2:$D$101,A3)/IFERROR(VLOOKUP(B3,Vehicles!$A$2:$B$16,2,FALSE),1)</f>
        <v/>
      </c>
    </row>
    <row r="4">
      <c r="A4" s="42" t="inlineStr">
        <is>
          <t>R003</t>
        </is>
      </c>
      <c r="B4" s="42" t="inlineStr">
        <is>
          <t>V002</t>
        </is>
      </c>
      <c r="C4" s="42" t="n">
        <v>418</v>
      </c>
      <c r="D4" s="42" t="n">
        <v>14</v>
      </c>
      <c r="E4" s="42">
        <f>C4/SPEED_KMH+D4*SERVICE_TIME_MIN/60</f>
        <v/>
      </c>
      <c r="F4" s="42">
        <f>SUMIFS(Shipments!$C$2:$C$101,Shipments!$D$2:$D$101,A4)/IFERROR(VLOOKUP(B4,Vehicles!$A$2:$B$16,2,FALSE),1)</f>
        <v/>
      </c>
    </row>
    <row r="5">
      <c r="A5" t="inlineStr">
        <is>
          <t>R004</t>
        </is>
      </c>
      <c r="B5" t="inlineStr">
        <is>
          <t>V006</t>
        </is>
      </c>
      <c r="C5" t="n">
        <v>230</v>
      </c>
      <c r="D5" t="n">
        <v>16</v>
      </c>
      <c r="E5">
        <f>C5/SPEED_KMH+D5*SERVICE_TIME_MIN/60</f>
        <v/>
      </c>
      <c r="F5">
        <f>SUMIFS(Shipments!$C$2:$C$101,Shipments!$D$2:$D$101,A5)/IFERROR(VLOOKUP(B5,Vehicles!$A$2:$B$16,2,FALSE),1)</f>
        <v/>
      </c>
    </row>
    <row r="6">
      <c r="A6" s="42" t="inlineStr">
        <is>
          <t>R005</t>
        </is>
      </c>
      <c r="B6" s="42" t="inlineStr">
        <is>
          <t>V001</t>
        </is>
      </c>
      <c r="C6" s="42" t="n">
        <v>432</v>
      </c>
      <c r="D6" s="42" t="n">
        <v>14</v>
      </c>
      <c r="E6" s="42">
        <f>C6/SPEED_KMH+D6*SERVICE_TIME_MIN/60</f>
        <v/>
      </c>
      <c r="F6" s="42">
        <f>SUMIFS(Shipments!$C$2:$C$101,Shipments!$D$2:$D$101,A6)/IFERROR(VLOOKUP(B6,Vehicles!$A$2:$B$16,2,FALSE),1)</f>
        <v/>
      </c>
    </row>
    <row r="7">
      <c r="A7" t="inlineStr">
        <is>
          <t>R006</t>
        </is>
      </c>
      <c r="B7" t="inlineStr">
        <is>
          <t>V013</t>
        </is>
      </c>
      <c r="C7" t="n">
        <v>343</v>
      </c>
      <c r="D7" t="n">
        <v>19</v>
      </c>
      <c r="E7">
        <f>C7/SPEED_KMH+D7*SERVICE_TIME_MIN/60</f>
        <v/>
      </c>
      <c r="F7">
        <f>SUMIFS(Shipments!$C$2:$C$101,Shipments!$D$2:$D$101,A7)/IFERROR(VLOOKUP(B7,Vehicles!$A$2:$B$16,2,FALSE),1)</f>
        <v/>
      </c>
    </row>
    <row r="8">
      <c r="A8" s="42" t="inlineStr">
        <is>
          <t>R007</t>
        </is>
      </c>
      <c r="B8" s="42" t="inlineStr">
        <is>
          <t>V008</t>
        </is>
      </c>
      <c r="C8" s="42" t="n">
        <v>420</v>
      </c>
      <c r="D8" s="42" t="n">
        <v>13</v>
      </c>
      <c r="E8" s="42">
        <f>C8/SPEED_KMH+D8*SERVICE_TIME_MIN/60</f>
        <v/>
      </c>
      <c r="F8" s="42">
        <f>SUMIFS(Shipments!$C$2:$C$101,Shipments!$D$2:$D$101,A8)/IFERROR(VLOOKUP(B8,Vehicles!$A$2:$B$16,2,FALSE),1)</f>
        <v/>
      </c>
    </row>
    <row r="9">
      <c r="A9" t="inlineStr">
        <is>
          <t>R008</t>
        </is>
      </c>
      <c r="B9" t="inlineStr">
        <is>
          <t>V013</t>
        </is>
      </c>
      <c r="C9" t="n">
        <v>233</v>
      </c>
      <c r="D9" t="n">
        <v>10</v>
      </c>
      <c r="E9">
        <f>C9/SPEED_KMH+D9*SERVICE_TIME_MIN/60</f>
        <v/>
      </c>
      <c r="F9">
        <f>SUMIFS(Shipments!$C$2:$C$101,Shipments!$D$2:$D$101,A9)/IFERROR(VLOOKUP(B9,Vehicles!$A$2:$B$16,2,FALSE),1)</f>
        <v/>
      </c>
    </row>
    <row r="10">
      <c r="A10" s="42" t="inlineStr">
        <is>
          <t>R009</t>
        </is>
      </c>
      <c r="B10" s="42" t="inlineStr">
        <is>
          <t>V003</t>
        </is>
      </c>
      <c r="C10" s="42" t="n">
        <v>458</v>
      </c>
      <c r="D10" s="42" t="n">
        <v>5</v>
      </c>
      <c r="E10" s="42">
        <f>C10/SPEED_KMH+D10*SERVICE_TIME_MIN/60</f>
        <v/>
      </c>
      <c r="F10" s="42">
        <f>SUMIFS(Shipments!$C$2:$C$101,Shipments!$D$2:$D$101,A10)/IFERROR(VLOOKUP(B10,Vehicles!$A$2:$B$16,2,FALSE),1)</f>
        <v/>
      </c>
    </row>
    <row r="11">
      <c r="A11" t="inlineStr">
        <is>
          <t>R010</t>
        </is>
      </c>
      <c r="B11" t="inlineStr">
        <is>
          <t>V010</t>
        </is>
      </c>
      <c r="C11" t="n">
        <v>84</v>
      </c>
      <c r="D11" t="n">
        <v>5</v>
      </c>
      <c r="E11">
        <f>C11/SPEED_KMH+D11*SERVICE_TIME_MIN/60</f>
        <v/>
      </c>
      <c r="F11">
        <f>SUMIFS(Shipments!$C$2:$C$101,Shipments!$D$2:$D$101,A11)/IFERROR(VLOOKUP(B11,Vehicles!$A$2:$B$16,2,FALSE),1)</f>
        <v/>
      </c>
    </row>
    <row r="12">
      <c r="A12" s="42" t="inlineStr">
        <is>
          <t>R011</t>
        </is>
      </c>
      <c r="B12" s="42" t="inlineStr">
        <is>
          <t>V015</t>
        </is>
      </c>
      <c r="C12" s="42" t="n">
        <v>240</v>
      </c>
      <c r="D12" s="42" t="n">
        <v>11</v>
      </c>
      <c r="E12" s="42">
        <f>C12/SPEED_KMH+D12*SERVICE_TIME_MIN/60</f>
        <v/>
      </c>
      <c r="F12" s="42">
        <f>SUMIFS(Shipments!$C$2:$C$101,Shipments!$D$2:$D$101,A12)/IFERROR(VLOOKUP(B12,Vehicles!$A$2:$B$16,2,FALSE),1)</f>
        <v/>
      </c>
    </row>
    <row r="13">
      <c r="A13" t="inlineStr">
        <is>
          <t>R012</t>
        </is>
      </c>
      <c r="B13" t="inlineStr">
        <is>
          <t>V013</t>
        </is>
      </c>
      <c r="C13" t="n">
        <v>304</v>
      </c>
      <c r="D13" t="n">
        <v>13</v>
      </c>
      <c r="E13">
        <f>C13/SPEED_KMH+D13*SERVICE_TIME_MIN/60</f>
        <v/>
      </c>
      <c r="F13">
        <f>SUMIFS(Shipments!$C$2:$C$101,Shipments!$D$2:$D$101,A13)/IFERROR(VLOOKUP(B13,Vehicles!$A$2:$B$16,2,FALSE),1)</f>
        <v/>
      </c>
    </row>
    <row r="14">
      <c r="A14" s="42" t="inlineStr">
        <is>
          <t>R013</t>
        </is>
      </c>
      <c r="B14" s="42" t="inlineStr">
        <is>
          <t>V006</t>
        </is>
      </c>
      <c r="C14" s="42" t="n">
        <v>161</v>
      </c>
      <c r="D14" s="42" t="n">
        <v>8</v>
      </c>
      <c r="E14" s="42">
        <f>C14/SPEED_KMH+D14*SERVICE_TIME_MIN/60</f>
        <v/>
      </c>
      <c r="F14" s="42">
        <f>SUMIFS(Shipments!$C$2:$C$101,Shipments!$D$2:$D$101,A14)/IFERROR(VLOOKUP(B14,Vehicles!$A$2:$B$16,2,FALSE),1)</f>
        <v/>
      </c>
    </row>
    <row r="15">
      <c r="A15" t="inlineStr">
        <is>
          <t>R014</t>
        </is>
      </c>
      <c r="B15" t="inlineStr">
        <is>
          <t>V003</t>
        </is>
      </c>
      <c r="C15" t="n">
        <v>600</v>
      </c>
      <c r="D15" t="n">
        <v>12</v>
      </c>
      <c r="E15">
        <f>C15/SPEED_KMH+D15*SERVICE_TIME_MIN/60</f>
        <v/>
      </c>
      <c r="F15">
        <f>SUMIFS(Shipments!$C$2:$C$101,Shipments!$D$2:$D$101,A15)/IFERROR(VLOOKUP(B15,Vehicles!$A$2:$B$16,2,FALSE),1)</f>
        <v/>
      </c>
    </row>
    <row r="16">
      <c r="A16" s="42" t="inlineStr">
        <is>
          <t>R015</t>
        </is>
      </c>
      <c r="B16" s="42" t="inlineStr">
        <is>
          <t>V015</t>
        </is>
      </c>
      <c r="C16" s="42" t="n">
        <v>278</v>
      </c>
      <c r="D16" s="42" t="n">
        <v>12</v>
      </c>
      <c r="E16" s="42">
        <f>C16/SPEED_KMH+D16*SERVICE_TIME_MIN/60</f>
        <v/>
      </c>
      <c r="F16" s="42">
        <f>SUMIFS(Shipments!$C$2:$C$101,Shipments!$D$2:$D$101,A16)/IFERROR(VLOOKUP(B16,Vehicles!$A$2:$B$16,2,FALSE),1)</f>
        <v/>
      </c>
    </row>
    <row r="17">
      <c r="A17" t="inlineStr">
        <is>
          <t>R016</t>
        </is>
      </c>
      <c r="B17" t="inlineStr">
        <is>
          <t>V010</t>
        </is>
      </c>
      <c r="C17" t="n">
        <v>542</v>
      </c>
      <c r="D17" t="n">
        <v>17</v>
      </c>
      <c r="E17">
        <f>C17/SPEED_KMH+D17*SERVICE_TIME_MIN/60</f>
        <v/>
      </c>
      <c r="F17">
        <f>SUMIFS(Shipments!$C$2:$C$101,Shipments!$D$2:$D$101,A17)/IFERROR(VLOOKUP(B17,Vehicles!$A$2:$B$16,2,FALSE),1)</f>
        <v/>
      </c>
    </row>
    <row r="18">
      <c r="A18" s="42" t="inlineStr">
        <is>
          <t>R017</t>
        </is>
      </c>
      <c r="B18" s="42" t="inlineStr">
        <is>
          <t>V002</t>
        </is>
      </c>
      <c r="C18" s="42" t="n">
        <v>242</v>
      </c>
      <c r="D18" s="42" t="n">
        <v>22</v>
      </c>
      <c r="E18" s="42">
        <f>C18/SPEED_KMH+D18*SERVICE_TIME_MIN/60</f>
        <v/>
      </c>
      <c r="F18" s="42">
        <f>SUMIFS(Shipments!$C$2:$C$101,Shipments!$D$2:$D$101,A18)/IFERROR(VLOOKUP(B18,Vehicles!$A$2:$B$16,2,FALSE),1)</f>
        <v/>
      </c>
    </row>
    <row r="19">
      <c r="A19" t="inlineStr">
        <is>
          <t>R018</t>
        </is>
      </c>
      <c r="B19" t="inlineStr">
        <is>
          <t>V008</t>
        </is>
      </c>
      <c r="C19" t="n">
        <v>321</v>
      </c>
      <c r="D19" t="n">
        <v>8</v>
      </c>
      <c r="E19">
        <f>C19/SPEED_KMH+D19*SERVICE_TIME_MIN/60</f>
        <v/>
      </c>
      <c r="F19">
        <f>SUMIFS(Shipments!$C$2:$C$101,Shipments!$D$2:$D$101,A19)/IFERROR(VLOOKUP(B19,Vehicles!$A$2:$B$16,2,FALSE),1)</f>
        <v/>
      </c>
    </row>
    <row r="20">
      <c r="A20" s="42" t="inlineStr">
        <is>
          <t>R019</t>
        </is>
      </c>
      <c r="B20" s="42" t="inlineStr">
        <is>
          <t>V003</t>
        </is>
      </c>
      <c r="C20" s="42" t="n">
        <v>460</v>
      </c>
      <c r="D20" s="42" t="n">
        <v>19</v>
      </c>
      <c r="E20" s="42">
        <f>C20/SPEED_KMH+D20*SERVICE_TIME_MIN/60</f>
        <v/>
      </c>
      <c r="F20" s="42">
        <f>SUMIFS(Shipments!$C$2:$C$101,Shipments!$D$2:$D$101,A20)/IFERROR(VLOOKUP(B20,Vehicles!$A$2:$B$16,2,FALSE),1)</f>
        <v/>
      </c>
    </row>
    <row r="21">
      <c r="A21" t="inlineStr">
        <is>
          <t>R020</t>
        </is>
      </c>
      <c r="B21" t="inlineStr">
        <is>
          <t>V001</t>
        </is>
      </c>
      <c r="C21" t="n">
        <v>493</v>
      </c>
      <c r="D21" t="n">
        <v>14</v>
      </c>
      <c r="E21">
        <f>C21/SPEED_KMH+D21*SERVICE_TIME_MIN/60</f>
        <v/>
      </c>
      <c r="F21">
        <f>SUMIFS(Shipments!$C$2:$C$101,Shipments!$D$2:$D$101,A21)/IFERROR(VLOOKUP(B21,Vehicles!$A$2:$B$16,2,FALSE),1)</f>
        <v/>
      </c>
    </row>
    <row r="22">
      <c r="A22" s="42" t="inlineStr">
        <is>
          <t>R021</t>
        </is>
      </c>
      <c r="B22" s="42" t="inlineStr">
        <is>
          <t>V013</t>
        </is>
      </c>
      <c r="C22" s="42" t="n">
        <v>533</v>
      </c>
      <c r="D22" s="42" t="n">
        <v>11</v>
      </c>
      <c r="E22" s="42">
        <f>C22/SPEED_KMH+D22*SERVICE_TIME_MIN/60</f>
        <v/>
      </c>
      <c r="F22" s="42">
        <f>SUMIFS(Shipments!$C$2:$C$101,Shipments!$D$2:$D$101,A22)/IFERROR(VLOOKUP(B22,Vehicles!$A$2:$B$16,2,FALSE),1)</f>
        <v/>
      </c>
    </row>
    <row r="23">
      <c r="A23" t="inlineStr">
        <is>
          <t>R022</t>
        </is>
      </c>
      <c r="B23" t="inlineStr">
        <is>
          <t>V014</t>
        </is>
      </c>
      <c r="C23" t="n">
        <v>270</v>
      </c>
      <c r="D23" t="n">
        <v>10</v>
      </c>
      <c r="E23">
        <f>C23/SPEED_KMH+D23*SERVICE_TIME_MIN/60</f>
        <v/>
      </c>
      <c r="F23">
        <f>SUMIFS(Shipments!$C$2:$C$101,Shipments!$D$2:$D$101,A23)/IFERROR(VLOOKUP(B23,Vehicles!$A$2:$B$16,2,FALSE),1)</f>
        <v/>
      </c>
    </row>
    <row r="24">
      <c r="A24" s="42" t="inlineStr">
        <is>
          <t>R023</t>
        </is>
      </c>
      <c r="B24" s="42" t="inlineStr">
        <is>
          <t>V007</t>
        </is>
      </c>
      <c r="C24" s="42" t="n">
        <v>350</v>
      </c>
      <c r="D24" s="42" t="n">
        <v>12</v>
      </c>
      <c r="E24" s="42">
        <f>C24/SPEED_KMH+D24*SERVICE_TIME_MIN/60</f>
        <v/>
      </c>
      <c r="F24" s="42">
        <f>SUMIFS(Shipments!$C$2:$C$101,Shipments!$D$2:$D$101,A24)/IFERROR(VLOOKUP(B24,Vehicles!$A$2:$B$16,2,FALSE),1)</f>
        <v/>
      </c>
    </row>
    <row r="25">
      <c r="A25" t="inlineStr">
        <is>
          <t>R024</t>
        </is>
      </c>
      <c r="B25" t="inlineStr">
        <is>
          <t>V005</t>
        </is>
      </c>
      <c r="C25" t="n">
        <v>329</v>
      </c>
      <c r="D25" t="n">
        <v>5</v>
      </c>
      <c r="E25">
        <f>C25/SPEED_KMH+D25*SERVICE_TIME_MIN/60</f>
        <v/>
      </c>
      <c r="F25">
        <f>SUMIFS(Shipments!$C$2:$C$101,Shipments!$D$2:$D$101,A25)/IFERROR(VLOOKUP(B25,Vehicles!$A$2:$B$16,2,FALSE),1)</f>
        <v/>
      </c>
    </row>
    <row r="26">
      <c r="A26" s="42" t="inlineStr">
        <is>
          <t>R025</t>
        </is>
      </c>
      <c r="B26" s="42" t="inlineStr">
        <is>
          <t>V013</t>
        </is>
      </c>
      <c r="C26" s="42" t="n">
        <v>236</v>
      </c>
      <c r="D26" s="42" t="n">
        <v>8</v>
      </c>
      <c r="E26" s="42">
        <f>C26/SPEED_KMH+D26*SERVICE_TIME_MIN/60</f>
        <v/>
      </c>
      <c r="F26" s="42">
        <f>SUMIFS(Shipments!$C$2:$C$101,Shipments!$D$2:$D$101,A26)/IFERROR(VLOOKUP(B26,Vehicles!$A$2:$B$16,2,FALSE),1)</f>
        <v/>
      </c>
    </row>
    <row r="27">
      <c r="A27" t="inlineStr">
        <is>
          <t>R026</t>
        </is>
      </c>
      <c r="B27" t="inlineStr">
        <is>
          <t>V001</t>
        </is>
      </c>
      <c r="C27" t="n">
        <v>420</v>
      </c>
      <c r="D27" t="n">
        <v>7</v>
      </c>
      <c r="E27">
        <f>C27/SPEED_KMH+D27*SERVICE_TIME_MIN/60</f>
        <v/>
      </c>
      <c r="F27">
        <f>SUMIFS(Shipments!$C$2:$C$101,Shipments!$D$2:$D$101,A27)/IFERROR(VLOOKUP(B27,Vehicles!$A$2:$B$16,2,FALSE),1)</f>
        <v/>
      </c>
    </row>
    <row r="28">
      <c r="A28" s="42" t="inlineStr">
        <is>
          <t>R027</t>
        </is>
      </c>
      <c r="B28" s="42" t="inlineStr">
        <is>
          <t>V014</t>
        </is>
      </c>
      <c r="C28" s="42" t="n">
        <v>388</v>
      </c>
      <c r="D28" s="42" t="n">
        <v>8</v>
      </c>
      <c r="E28" s="42">
        <f>C28/SPEED_KMH+D28*SERVICE_TIME_MIN/60</f>
        <v/>
      </c>
      <c r="F28" s="42">
        <f>SUMIFS(Shipments!$C$2:$C$101,Shipments!$D$2:$D$101,A28)/IFERROR(VLOOKUP(B28,Vehicles!$A$2:$B$16,2,FALSE),1)</f>
        <v/>
      </c>
    </row>
    <row r="29">
      <c r="A29" t="inlineStr">
        <is>
          <t>R028</t>
        </is>
      </c>
      <c r="B29" t="inlineStr">
        <is>
          <t>V008</t>
        </is>
      </c>
      <c r="C29" t="n">
        <v>469</v>
      </c>
      <c r="D29" t="n">
        <v>6</v>
      </c>
      <c r="E29">
        <f>C29/SPEED_KMH+D29*SERVICE_TIME_MIN/60</f>
        <v/>
      </c>
      <c r="F29">
        <f>SUMIFS(Shipments!$C$2:$C$101,Shipments!$D$2:$D$101,A29)/IFERROR(VLOOKUP(B29,Vehicles!$A$2:$B$16,2,FALSE),1)</f>
        <v/>
      </c>
    </row>
    <row r="30">
      <c r="A30" s="42" t="inlineStr">
        <is>
          <t>R029</t>
        </is>
      </c>
      <c r="B30" s="42" t="inlineStr">
        <is>
          <t>V002</t>
        </is>
      </c>
      <c r="C30" s="42" t="n">
        <v>379</v>
      </c>
      <c r="D30" s="42" t="n">
        <v>13</v>
      </c>
      <c r="E30" s="42">
        <f>C30/SPEED_KMH+D30*SERVICE_TIME_MIN/60</f>
        <v/>
      </c>
      <c r="F30" s="42">
        <f>SUMIFS(Shipments!$C$2:$C$101,Shipments!$D$2:$D$101,A30)/IFERROR(VLOOKUP(B30,Vehicles!$A$2:$B$16,2,FALSE),1)</f>
        <v/>
      </c>
    </row>
    <row r="31">
      <c r="A31" t="inlineStr">
        <is>
          <t>R030</t>
        </is>
      </c>
      <c r="B31" t="inlineStr">
        <is>
          <t>V011</t>
        </is>
      </c>
      <c r="C31" t="n">
        <v>198</v>
      </c>
      <c r="D31" t="n">
        <v>6</v>
      </c>
      <c r="E31">
        <f>C31/SPEED_KMH+D31*SERVICE_TIME_MIN/60</f>
        <v/>
      </c>
      <c r="F31">
        <f>SUMIFS(Shipments!$C$2:$C$101,Shipments!$D$2:$D$101,A31)/IFERROR(VLOOKUP(B31,Vehicles!$A$2:$B$16,2,FALSE),1)</f>
        <v/>
      </c>
    </row>
  </sheetData>
  <conditionalFormatting sqref="F2:F31">
    <cfRule type="cellIs" priority="1" operator="greaterThan" dxfId="0" stopIfTrue="0">
      <formula>1.0</formula>
    </cfRule>
  </conditionalFormatting>
  <pageMargins left="0.75" right="0.75" top="1" bottom="1" header="0.5" footer="0.5"/>
  <controls>
    <mc:AlternateContent xmlns:mc="http://schemas.openxmlformats.org/markup-compatibility/2006">
      <mc:Choice Requires="x14">
        <control shapeId="2049" r:id="rId1" name="Run Routing Calculation">
          <controlPr defaultSize="0" print="0" autoFill="0" autoPict="0" macro="[0]!Execute">
            <anchor moveWithCells="1" sizeWithCells="1">
              <from>
                <xdr:col xmlns:xdr="http://schemas.openxmlformats.org/drawingml/2006/spreadsheetDrawing">8</xdr:col>
                <xdr:colOff xmlns:xdr="http://schemas.openxmlformats.org/drawingml/2006/spreadsheetDrawing">0</xdr:colOff>
                <xdr:row xmlns:xdr="http://schemas.openxmlformats.org/drawingml/2006/spreadsheetDrawing">1</xdr:row>
                <xdr:rowOff xmlns:xdr="http://schemas.openxmlformats.org/drawingml/2006/spreadsheetDrawing">0</xdr:rowOff>
              </from>
              <to>
                <xdr:col xmlns:xdr="http://schemas.openxmlformats.org/drawingml/2006/spreadsheetDrawing">10</xdr:col>
                <xdr:colOff xmlns:xdr="http://schemas.openxmlformats.org/drawingml/2006/spreadsheetDrawing">0</xdr:colOff>
                <xdr:row xmlns:xdr="http://schemas.openxmlformats.org/drawingml/2006/spreadsheetDrawing">3</xdr:row>
                <xdr:rowOff xmlns:xdr="http://schemas.openxmlformats.org/drawingml/2006/spreadsheetDrawing"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5"/>
  <sheetData>
    <row r="1">
      <c r="A1" s="41" t="inlineStr">
        <is>
          <t>VehicleID</t>
        </is>
      </c>
      <c r="B1" s="41" t="inlineStr">
        <is>
          <t>CapacityKg</t>
        </is>
      </c>
      <c r="C1" s="41" t="inlineStr">
        <is>
          <t>MaxStops</t>
        </is>
      </c>
      <c r="D1" s="41" t="inlineStr">
        <is>
          <t>FuelCostPerKm</t>
        </is>
      </c>
    </row>
    <row r="2">
      <c r="A2" s="42" t="inlineStr">
        <is>
          <t>V001</t>
        </is>
      </c>
      <c r="B2" s="42" t="n">
        <v>2000</v>
      </c>
      <c r="C2" s="42" t="n">
        <v>23</v>
      </c>
      <c r="D2" s="42">
        <f>FUEL_PRICE*0.439</f>
        <v/>
      </c>
    </row>
    <row r="3">
      <c r="A3" t="inlineStr">
        <is>
          <t>V002</t>
        </is>
      </c>
      <c r="B3" t="n">
        <v>3500</v>
      </c>
      <c r="C3" t="n">
        <v>18</v>
      </c>
      <c r="D3">
        <f>FUEL_PRICE*0.298</f>
        <v/>
      </c>
    </row>
    <row r="4">
      <c r="A4" s="42" t="inlineStr">
        <is>
          <t>V003</t>
        </is>
      </c>
      <c r="B4" s="42" t="n">
        <v>3500</v>
      </c>
      <c r="C4" s="42" t="n">
        <v>15</v>
      </c>
      <c r="D4" s="42">
        <f>FUEL_PRICE*0.384</f>
        <v/>
      </c>
    </row>
    <row r="5">
      <c r="A5" t="inlineStr">
        <is>
          <t>V004</t>
        </is>
      </c>
      <c r="B5" t="n">
        <v>2000</v>
      </c>
      <c r="C5" t="n">
        <v>15</v>
      </c>
      <c r="D5">
        <f>FUEL_PRICE*0.357</f>
        <v/>
      </c>
    </row>
    <row r="6">
      <c r="A6" s="42" t="inlineStr">
        <is>
          <t>V005</t>
        </is>
      </c>
      <c r="B6" s="42" t="n">
        <v>2500</v>
      </c>
      <c r="C6" s="42" t="n">
        <v>20</v>
      </c>
      <c r="D6" s="42">
        <f>FUEL_PRICE*0.342</f>
        <v/>
      </c>
    </row>
    <row r="7">
      <c r="A7" t="inlineStr">
        <is>
          <t>V006</t>
        </is>
      </c>
      <c r="B7" t="n">
        <v>2000</v>
      </c>
      <c r="C7" t="n">
        <v>15</v>
      </c>
      <c r="D7">
        <f>FUEL_PRICE*0.232</f>
        <v/>
      </c>
    </row>
    <row r="8">
      <c r="A8" s="42" t="inlineStr">
        <is>
          <t>V007</t>
        </is>
      </c>
      <c r="B8" s="42" t="n">
        <v>3000</v>
      </c>
      <c r="C8" s="42" t="n">
        <v>15</v>
      </c>
      <c r="D8" s="42">
        <f>FUEL_PRICE*0.337</f>
        <v/>
      </c>
    </row>
    <row r="9">
      <c r="A9" t="inlineStr">
        <is>
          <t>V008</t>
        </is>
      </c>
      <c r="B9" t="n">
        <v>5000</v>
      </c>
      <c r="C9" t="n">
        <v>20</v>
      </c>
      <c r="D9">
        <f>FUEL_PRICE*0.218</f>
        <v/>
      </c>
    </row>
    <row r="10">
      <c r="A10" s="42" t="inlineStr">
        <is>
          <t>V009</t>
        </is>
      </c>
      <c r="B10" s="42" t="n">
        <v>3000</v>
      </c>
      <c r="C10" s="42" t="n">
        <v>20</v>
      </c>
      <c r="D10" s="42">
        <f>FUEL_PRICE*0.372</f>
        <v/>
      </c>
    </row>
    <row r="11">
      <c r="A11" t="inlineStr">
        <is>
          <t>V010</t>
        </is>
      </c>
      <c r="B11" t="n">
        <v>5000</v>
      </c>
      <c r="C11" t="n">
        <v>22</v>
      </c>
      <c r="D11">
        <f>FUEL_PRICE*0.336</f>
        <v/>
      </c>
    </row>
    <row r="12">
      <c r="A12" s="42" t="inlineStr">
        <is>
          <t>V011</t>
        </is>
      </c>
      <c r="B12" s="42" t="n">
        <v>3500</v>
      </c>
      <c r="C12" s="42" t="n">
        <v>17</v>
      </c>
      <c r="D12" s="42">
        <f>FUEL_PRICE*0.432</f>
        <v/>
      </c>
    </row>
    <row r="13">
      <c r="A13" t="inlineStr">
        <is>
          <t>V012</t>
        </is>
      </c>
      <c r="B13" t="n">
        <v>2000</v>
      </c>
      <c r="C13" t="n">
        <v>22</v>
      </c>
      <c r="D13">
        <f>FUEL_PRICE*0.258</f>
        <v/>
      </c>
    </row>
    <row r="14">
      <c r="A14" s="42" t="inlineStr">
        <is>
          <t>V013</t>
        </is>
      </c>
      <c r="B14" s="42" t="n">
        <v>2000</v>
      </c>
      <c r="C14" s="42" t="n">
        <v>18</v>
      </c>
      <c r="D14" s="42">
        <f>FUEL_PRICE*0.349</f>
        <v/>
      </c>
    </row>
    <row r="15">
      <c r="A15" t="inlineStr">
        <is>
          <t>V014</t>
        </is>
      </c>
      <c r="B15" t="n">
        <v>3000</v>
      </c>
      <c r="C15" t="n">
        <v>18</v>
      </c>
      <c r="D15">
        <f>FUEL_PRICE*0.389</f>
        <v/>
      </c>
    </row>
    <row r="16">
      <c r="A16" s="42" t="inlineStr">
        <is>
          <t>V015</t>
        </is>
      </c>
      <c r="B16" s="42" t="n">
        <v>2500</v>
      </c>
      <c r="C16" s="42" t="n">
        <v>15</v>
      </c>
      <c r="D16" s="42">
        <f>FUEL_PRICE*0.31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01"/>
  <sheetViews>
    <sheetView workbookViewId="0">
      <selection activeCell="A1" sqref="A1"/>
    </sheetView>
  </sheetViews>
  <sheetFormatPr baseColWidth="8" defaultRowHeight="15"/>
  <sheetData>
    <row r="1">
      <c r="A1" s="41" t="inlineStr">
        <is>
          <t>OrderID</t>
        </is>
      </c>
      <c r="B1" s="41" t="inlineStr">
        <is>
          <t>CustomerID</t>
        </is>
      </c>
      <c r="C1" s="41" t="inlineStr">
        <is>
          <t>WeightKg</t>
        </is>
      </c>
      <c r="D1" s="41" t="inlineStr">
        <is>
          <t>AssignedRoute</t>
        </is>
      </c>
      <c r="E1" s="41" t="inlineStr">
        <is>
          <t>FuelCost</t>
        </is>
      </c>
    </row>
    <row r="2">
      <c r="A2" s="42" t="inlineStr">
        <is>
          <t>O00001</t>
        </is>
      </c>
      <c r="B2" s="42" t="inlineStr">
        <is>
          <t>C003</t>
        </is>
      </c>
      <c r="C2" s="42" t="n">
        <v>194</v>
      </c>
      <c r="D2" s="42" t="inlineStr">
        <is>
          <t>R013</t>
        </is>
      </c>
      <c r="E2" s="42">
        <f>IFERROR(INDEX(Routes!$C$2:$C$31,MATCH(D2,Routes!$A$2:$A$31,0))*FUEL_PRICE,0)</f>
        <v/>
      </c>
    </row>
    <row r="3">
      <c r="A3" t="inlineStr">
        <is>
          <t>O00002</t>
        </is>
      </c>
      <c r="B3" t="inlineStr">
        <is>
          <t>C013</t>
        </is>
      </c>
      <c r="C3" t="n">
        <v>127</v>
      </c>
      <c r="D3" t="inlineStr">
        <is>
          <t>R030</t>
        </is>
      </c>
      <c r="E3">
        <f>IFERROR(INDEX(Routes!$C$2:$C$31,MATCH(D3,Routes!$A$2:$A$31,0))*FUEL_PRICE,0)</f>
        <v/>
      </c>
    </row>
    <row r="4">
      <c r="A4" s="42" t="inlineStr">
        <is>
          <t>O00003</t>
        </is>
      </c>
      <c r="B4" s="42" t="inlineStr">
        <is>
          <t>C017</t>
        </is>
      </c>
      <c r="C4" s="42" t="n">
        <v>396</v>
      </c>
      <c r="D4" s="42" t="inlineStr">
        <is>
          <t>R030</t>
        </is>
      </c>
      <c r="E4" s="42">
        <f>IFERROR(INDEX(Routes!$C$2:$C$31,MATCH(D4,Routes!$A$2:$A$31,0))*FUEL_PRICE,0)</f>
        <v/>
      </c>
    </row>
    <row r="5">
      <c r="A5" t="inlineStr">
        <is>
          <t>O00004</t>
        </is>
      </c>
      <c r="B5" t="inlineStr">
        <is>
          <t>C022</t>
        </is>
      </c>
      <c r="C5" t="n">
        <v>1055</v>
      </c>
      <c r="D5" t="inlineStr">
        <is>
          <t>R025</t>
        </is>
      </c>
      <c r="E5">
        <f>IFERROR(INDEX(Routes!$C$2:$C$31,MATCH(D5,Routes!$A$2:$A$31,0))*FUEL_PRICE,0)</f>
        <v/>
      </c>
    </row>
    <row r="6">
      <c r="A6" s="42" t="inlineStr">
        <is>
          <t>O00005</t>
        </is>
      </c>
      <c r="B6" s="42" t="inlineStr">
        <is>
          <t>C020</t>
        </is>
      </c>
      <c r="C6" s="42" t="n">
        <v>719</v>
      </c>
      <c r="D6" s="42" t="inlineStr">
        <is>
          <t>R023</t>
        </is>
      </c>
      <c r="E6" s="42">
        <f>IFERROR(INDEX(Routes!$C$2:$C$31,MATCH(D6,Routes!$A$2:$A$31,0))*FUEL_PRICE,0)</f>
        <v/>
      </c>
    </row>
    <row r="7">
      <c r="A7" t="inlineStr">
        <is>
          <t>O00006</t>
        </is>
      </c>
      <c r="B7" t="inlineStr">
        <is>
          <t>C012</t>
        </is>
      </c>
      <c r="C7" t="n">
        <v>1117</v>
      </c>
      <c r="D7" t="inlineStr">
        <is>
          <t>R027</t>
        </is>
      </c>
      <c r="E7">
        <f>IFERROR(INDEX(Routes!$C$2:$C$31,MATCH(D7,Routes!$A$2:$A$31,0))*FUEL_PRICE,0)</f>
        <v/>
      </c>
    </row>
    <row r="8">
      <c r="A8" s="42" t="inlineStr">
        <is>
          <t>O00007</t>
        </is>
      </c>
      <c r="B8" s="42" t="inlineStr">
        <is>
          <t>C038</t>
        </is>
      </c>
      <c r="C8" s="42" t="n">
        <v>319</v>
      </c>
      <c r="D8" s="42" t="inlineStr">
        <is>
          <t>R005</t>
        </is>
      </c>
      <c r="E8" s="42">
        <f>IFERROR(INDEX(Routes!$C$2:$C$31,MATCH(D8,Routes!$A$2:$A$31,0))*FUEL_PRICE,0)</f>
        <v/>
      </c>
    </row>
    <row r="9">
      <c r="A9" t="inlineStr">
        <is>
          <t>O00008</t>
        </is>
      </c>
      <c r="B9" t="inlineStr">
        <is>
          <t>C010</t>
        </is>
      </c>
      <c r="C9" t="n">
        <v>1273</v>
      </c>
      <c r="D9" t="inlineStr">
        <is>
          <t>R001</t>
        </is>
      </c>
      <c r="E9">
        <f>IFERROR(INDEX(Routes!$C$2:$C$31,MATCH(D9,Routes!$A$2:$A$31,0))*FUEL_PRICE,0)</f>
        <v/>
      </c>
    </row>
    <row r="10">
      <c r="A10" s="42" t="inlineStr">
        <is>
          <t>O00009</t>
        </is>
      </c>
      <c r="B10" s="42" t="inlineStr">
        <is>
          <t>C026</t>
        </is>
      </c>
      <c r="C10" s="42" t="n">
        <v>1197</v>
      </c>
      <c r="D10" s="42" t="inlineStr">
        <is>
          <t>R013</t>
        </is>
      </c>
      <c r="E10" s="42">
        <f>IFERROR(INDEX(Routes!$C$2:$C$31,MATCH(D10,Routes!$A$2:$A$31,0))*FUEL_PRICE,0)</f>
        <v/>
      </c>
    </row>
    <row r="11">
      <c r="A11" t="inlineStr">
        <is>
          <t>O00010</t>
        </is>
      </c>
      <c r="B11" t="inlineStr">
        <is>
          <t>C008</t>
        </is>
      </c>
      <c r="C11" t="n">
        <v>902</v>
      </c>
      <c r="D11" t="inlineStr">
        <is>
          <t>R030</t>
        </is>
      </c>
      <c r="E11">
        <f>IFERROR(INDEX(Routes!$C$2:$C$31,MATCH(D11,Routes!$A$2:$A$31,0))*FUEL_PRICE,0)</f>
        <v/>
      </c>
    </row>
    <row r="12">
      <c r="A12" s="42" t="inlineStr">
        <is>
          <t>O00011</t>
        </is>
      </c>
      <c r="B12" s="42" t="inlineStr">
        <is>
          <t>C009</t>
        </is>
      </c>
      <c r="C12" s="42" t="n">
        <v>652</v>
      </c>
      <c r="D12" s="42" t="inlineStr">
        <is>
          <t>R030</t>
        </is>
      </c>
      <c r="E12" s="42">
        <f>IFERROR(INDEX(Routes!$C$2:$C$31,MATCH(D12,Routes!$A$2:$A$31,0))*FUEL_PRICE,0)</f>
        <v/>
      </c>
    </row>
    <row r="13">
      <c r="A13" t="inlineStr">
        <is>
          <t>O00012</t>
        </is>
      </c>
      <c r="B13" t="inlineStr">
        <is>
          <t>C028</t>
        </is>
      </c>
      <c r="C13" t="n">
        <v>801</v>
      </c>
      <c r="D13" t="inlineStr">
        <is>
          <t>R004</t>
        </is>
      </c>
      <c r="E13">
        <f>IFERROR(INDEX(Routes!$C$2:$C$31,MATCH(D13,Routes!$A$2:$A$31,0))*FUEL_PRICE,0)</f>
        <v/>
      </c>
    </row>
    <row r="14">
      <c r="A14" s="42" t="inlineStr">
        <is>
          <t>O00013</t>
        </is>
      </c>
      <c r="B14" s="42" t="inlineStr">
        <is>
          <t>C017</t>
        </is>
      </c>
      <c r="C14" s="42" t="n">
        <v>462</v>
      </c>
      <c r="D14" s="42" t="inlineStr">
        <is>
          <t>R024</t>
        </is>
      </c>
      <c r="E14" s="42">
        <f>IFERROR(INDEX(Routes!$C$2:$C$31,MATCH(D14,Routes!$A$2:$A$31,0))*FUEL_PRICE,0)</f>
        <v/>
      </c>
    </row>
    <row r="15">
      <c r="A15" t="inlineStr">
        <is>
          <t>O00014</t>
        </is>
      </c>
      <c r="B15" t="inlineStr">
        <is>
          <t>C010</t>
        </is>
      </c>
      <c r="C15" t="n">
        <v>917</v>
      </c>
      <c r="D15" t="inlineStr">
        <is>
          <t>R007</t>
        </is>
      </c>
      <c r="E15">
        <f>IFERROR(INDEX(Routes!$C$2:$C$31,MATCH(D15,Routes!$A$2:$A$31,0))*FUEL_PRICE,0)</f>
        <v/>
      </c>
    </row>
    <row r="16">
      <c r="A16" s="42" t="inlineStr">
        <is>
          <t>O00015</t>
        </is>
      </c>
      <c r="B16" s="42" t="inlineStr">
        <is>
          <t>C034</t>
        </is>
      </c>
      <c r="C16" s="42" t="n">
        <v>818</v>
      </c>
      <c r="D16" s="42" t="inlineStr">
        <is>
          <t>R028</t>
        </is>
      </c>
      <c r="E16" s="42">
        <f>IFERROR(INDEX(Routes!$C$2:$C$31,MATCH(D16,Routes!$A$2:$A$31,0))*FUEL_PRICE,0)</f>
        <v/>
      </c>
    </row>
    <row r="17">
      <c r="A17" t="inlineStr">
        <is>
          <t>O00016</t>
        </is>
      </c>
      <c r="B17" t="inlineStr">
        <is>
          <t>C001</t>
        </is>
      </c>
      <c r="C17" t="n">
        <v>1110</v>
      </c>
      <c r="D17" t="inlineStr">
        <is>
          <t>R020</t>
        </is>
      </c>
      <c r="E17">
        <f>IFERROR(INDEX(Routes!$C$2:$C$31,MATCH(D17,Routes!$A$2:$A$31,0))*FUEL_PRICE,0)</f>
        <v/>
      </c>
    </row>
    <row r="18">
      <c r="A18" s="42" t="inlineStr">
        <is>
          <t>O00017</t>
        </is>
      </c>
      <c r="B18" s="42" t="inlineStr">
        <is>
          <t>C038</t>
        </is>
      </c>
      <c r="C18" s="42" t="n">
        <v>234</v>
      </c>
      <c r="D18" s="42" t="inlineStr">
        <is>
          <t>R003</t>
        </is>
      </c>
      <c r="E18" s="42">
        <f>IFERROR(INDEX(Routes!$C$2:$C$31,MATCH(D18,Routes!$A$2:$A$31,0))*FUEL_PRICE,0)</f>
        <v/>
      </c>
    </row>
    <row r="19">
      <c r="A19" t="inlineStr">
        <is>
          <t>O00018</t>
        </is>
      </c>
      <c r="B19" t="inlineStr">
        <is>
          <t>C027</t>
        </is>
      </c>
      <c r="C19" t="n">
        <v>337</v>
      </c>
      <c r="D19" t="inlineStr">
        <is>
          <t>R023</t>
        </is>
      </c>
      <c r="E19">
        <f>IFERROR(INDEX(Routes!$C$2:$C$31,MATCH(D19,Routes!$A$2:$A$31,0))*FUEL_PRICE,0)</f>
        <v/>
      </c>
    </row>
    <row r="20">
      <c r="A20" s="42" t="inlineStr">
        <is>
          <t>O00019</t>
        </is>
      </c>
      <c r="B20" s="42" t="inlineStr">
        <is>
          <t>C030</t>
        </is>
      </c>
      <c r="C20" s="42" t="n">
        <v>708</v>
      </c>
      <c r="D20" s="42" t="inlineStr">
        <is>
          <t>R020</t>
        </is>
      </c>
      <c r="E20" s="42">
        <f>IFERROR(INDEX(Routes!$C$2:$C$31,MATCH(D20,Routes!$A$2:$A$31,0))*FUEL_PRICE,0)</f>
        <v/>
      </c>
    </row>
    <row r="21">
      <c r="A21" t="inlineStr">
        <is>
          <t>O00020</t>
        </is>
      </c>
      <c r="B21" t="inlineStr">
        <is>
          <t>C001</t>
        </is>
      </c>
      <c r="C21" t="n">
        <v>346</v>
      </c>
      <c r="D21" t="inlineStr">
        <is>
          <t>R022</t>
        </is>
      </c>
      <c r="E21">
        <f>IFERROR(INDEX(Routes!$C$2:$C$31,MATCH(D21,Routes!$A$2:$A$31,0))*FUEL_PRICE,0)</f>
        <v/>
      </c>
    </row>
    <row r="22">
      <c r="A22" s="42" t="inlineStr">
        <is>
          <t>O00021</t>
        </is>
      </c>
      <c r="B22" s="42" t="inlineStr">
        <is>
          <t>C010</t>
        </is>
      </c>
      <c r="C22" s="42" t="n">
        <v>767</v>
      </c>
      <c r="D22" s="42" t="inlineStr">
        <is>
          <t>R021</t>
        </is>
      </c>
      <c r="E22" s="42">
        <f>IFERROR(INDEX(Routes!$C$2:$C$31,MATCH(D22,Routes!$A$2:$A$31,0))*FUEL_PRICE,0)</f>
        <v/>
      </c>
    </row>
    <row r="23">
      <c r="A23" t="inlineStr">
        <is>
          <t>O00022</t>
        </is>
      </c>
      <c r="B23" t="inlineStr">
        <is>
          <t>C005</t>
        </is>
      </c>
      <c r="C23" t="n">
        <v>256</v>
      </c>
      <c r="D23" t="inlineStr">
        <is>
          <t>R006</t>
        </is>
      </c>
      <c r="E23">
        <f>IFERROR(INDEX(Routes!$C$2:$C$31,MATCH(D23,Routes!$A$2:$A$31,0))*FUEL_PRICE,0)</f>
        <v/>
      </c>
    </row>
    <row r="24">
      <c r="A24" s="42" t="inlineStr">
        <is>
          <t>O00023</t>
        </is>
      </c>
      <c r="B24" s="42" t="inlineStr">
        <is>
          <t>C008</t>
        </is>
      </c>
      <c r="C24" s="42" t="n">
        <v>512</v>
      </c>
      <c r="D24" s="42" t="inlineStr">
        <is>
          <t>R018</t>
        </is>
      </c>
      <c r="E24" s="42">
        <f>IFERROR(INDEX(Routes!$C$2:$C$31,MATCH(D24,Routes!$A$2:$A$31,0))*FUEL_PRICE,0)</f>
        <v/>
      </c>
    </row>
    <row r="25">
      <c r="A25" t="inlineStr">
        <is>
          <t>O00024</t>
        </is>
      </c>
      <c r="B25" t="inlineStr">
        <is>
          <t>C003</t>
        </is>
      </c>
      <c r="C25" t="n">
        <v>936</v>
      </c>
      <c r="D25" t="inlineStr">
        <is>
          <t>R003</t>
        </is>
      </c>
      <c r="E25">
        <f>IFERROR(INDEX(Routes!$C$2:$C$31,MATCH(D25,Routes!$A$2:$A$31,0))*FUEL_PRICE,0)</f>
        <v/>
      </c>
    </row>
    <row r="26">
      <c r="A26" s="42" t="inlineStr">
        <is>
          <t>O00025</t>
        </is>
      </c>
      <c r="B26" s="42" t="inlineStr">
        <is>
          <t>C016</t>
        </is>
      </c>
      <c r="C26" s="42" t="n">
        <v>452</v>
      </c>
      <c r="D26" s="42" t="inlineStr">
        <is>
          <t>R020</t>
        </is>
      </c>
      <c r="E26" s="42">
        <f>IFERROR(INDEX(Routes!$C$2:$C$31,MATCH(D26,Routes!$A$2:$A$31,0))*FUEL_PRICE,0)</f>
        <v/>
      </c>
    </row>
    <row r="27">
      <c r="A27" t="inlineStr">
        <is>
          <t>O00026</t>
        </is>
      </c>
      <c r="B27" t="inlineStr">
        <is>
          <t>C040</t>
        </is>
      </c>
      <c r="C27" t="n">
        <v>1325</v>
      </c>
      <c r="D27" t="inlineStr">
        <is>
          <t>R001</t>
        </is>
      </c>
      <c r="E27">
        <f>IFERROR(INDEX(Routes!$C$2:$C$31,MATCH(D27,Routes!$A$2:$A$31,0))*FUEL_PRICE,0)</f>
        <v/>
      </c>
    </row>
    <row r="28">
      <c r="A28" s="42" t="inlineStr">
        <is>
          <t>O00027</t>
        </is>
      </c>
      <c r="B28" s="42" t="inlineStr">
        <is>
          <t>C018</t>
        </is>
      </c>
      <c r="C28" s="42" t="n">
        <v>123</v>
      </c>
      <c r="D28" s="42" t="inlineStr">
        <is>
          <t>R025</t>
        </is>
      </c>
      <c r="E28" s="42">
        <f>IFERROR(INDEX(Routes!$C$2:$C$31,MATCH(D28,Routes!$A$2:$A$31,0))*FUEL_PRICE,0)</f>
        <v/>
      </c>
    </row>
    <row r="29">
      <c r="A29" t="inlineStr">
        <is>
          <t>O00028</t>
        </is>
      </c>
      <c r="B29" t="inlineStr">
        <is>
          <t>C036</t>
        </is>
      </c>
      <c r="C29" t="n">
        <v>792</v>
      </c>
      <c r="D29" t="inlineStr">
        <is>
          <t>R013</t>
        </is>
      </c>
      <c r="E29">
        <f>IFERROR(INDEX(Routes!$C$2:$C$31,MATCH(D29,Routes!$A$2:$A$31,0))*FUEL_PRICE,0)</f>
        <v/>
      </c>
    </row>
    <row r="30">
      <c r="A30" s="42" t="inlineStr">
        <is>
          <t>O00029</t>
        </is>
      </c>
      <c r="B30" s="42" t="inlineStr">
        <is>
          <t>C025</t>
        </is>
      </c>
      <c r="C30" s="42" t="n">
        <v>485</v>
      </c>
      <c r="D30" s="42" t="inlineStr">
        <is>
          <t>R021</t>
        </is>
      </c>
      <c r="E30" s="42">
        <f>IFERROR(INDEX(Routes!$C$2:$C$31,MATCH(D30,Routes!$A$2:$A$31,0))*FUEL_PRICE,0)</f>
        <v/>
      </c>
    </row>
    <row r="31">
      <c r="A31" t="inlineStr">
        <is>
          <t>O00030</t>
        </is>
      </c>
      <c r="B31" t="inlineStr">
        <is>
          <t>C016</t>
        </is>
      </c>
      <c r="C31" t="n">
        <v>652</v>
      </c>
      <c r="D31" t="inlineStr">
        <is>
          <t>R024</t>
        </is>
      </c>
      <c r="E31">
        <f>IFERROR(INDEX(Routes!$C$2:$C$31,MATCH(D31,Routes!$A$2:$A$31,0))*FUEL_PRICE,0)</f>
        <v/>
      </c>
    </row>
    <row r="32">
      <c r="A32" s="42" t="inlineStr">
        <is>
          <t>O00031</t>
        </is>
      </c>
      <c r="B32" s="42" t="inlineStr">
        <is>
          <t>C023</t>
        </is>
      </c>
      <c r="C32" s="42" t="n">
        <v>737</v>
      </c>
      <c r="D32" s="42" t="inlineStr">
        <is>
          <t>R007</t>
        </is>
      </c>
      <c r="E32" s="42">
        <f>IFERROR(INDEX(Routes!$C$2:$C$31,MATCH(D32,Routes!$A$2:$A$31,0))*FUEL_PRICE,0)</f>
        <v/>
      </c>
    </row>
    <row r="33">
      <c r="A33" t="inlineStr">
        <is>
          <t>O00032</t>
        </is>
      </c>
      <c r="B33" t="inlineStr">
        <is>
          <t>C021</t>
        </is>
      </c>
      <c r="C33" t="n">
        <v>1484</v>
      </c>
      <c r="D33" t="inlineStr">
        <is>
          <t>R030</t>
        </is>
      </c>
      <c r="E33">
        <f>IFERROR(INDEX(Routes!$C$2:$C$31,MATCH(D33,Routes!$A$2:$A$31,0))*FUEL_PRICE,0)</f>
        <v/>
      </c>
    </row>
    <row r="34">
      <c r="A34" s="42" t="inlineStr">
        <is>
          <t>O00033</t>
        </is>
      </c>
      <c r="B34" s="42" t="inlineStr">
        <is>
          <t>C014</t>
        </is>
      </c>
      <c r="C34" s="42" t="n">
        <v>1396</v>
      </c>
      <c r="D34" s="42" t="inlineStr">
        <is>
          <t>R012</t>
        </is>
      </c>
      <c r="E34" s="42">
        <f>IFERROR(INDEX(Routes!$C$2:$C$31,MATCH(D34,Routes!$A$2:$A$31,0))*FUEL_PRICE,0)</f>
        <v/>
      </c>
    </row>
    <row r="35">
      <c r="A35" t="inlineStr">
        <is>
          <t>O00034</t>
        </is>
      </c>
      <c r="B35" t="inlineStr">
        <is>
          <t>C018</t>
        </is>
      </c>
      <c r="C35" t="n">
        <v>1021</v>
      </c>
      <c r="D35" t="inlineStr">
        <is>
          <t>R017</t>
        </is>
      </c>
      <c r="E35">
        <f>IFERROR(INDEX(Routes!$C$2:$C$31,MATCH(D35,Routes!$A$2:$A$31,0))*FUEL_PRICE,0)</f>
        <v/>
      </c>
    </row>
    <row r="36">
      <c r="A36" s="42" t="inlineStr">
        <is>
          <t>O00035</t>
        </is>
      </c>
      <c r="B36" s="42" t="inlineStr">
        <is>
          <t>C028</t>
        </is>
      </c>
      <c r="C36" s="42" t="n">
        <v>748</v>
      </c>
      <c r="D36" s="42" t="inlineStr">
        <is>
          <t>R004</t>
        </is>
      </c>
      <c r="E36" s="42">
        <f>IFERROR(INDEX(Routes!$C$2:$C$31,MATCH(D36,Routes!$A$2:$A$31,0))*FUEL_PRICE,0)</f>
        <v/>
      </c>
    </row>
    <row r="37">
      <c r="A37" t="inlineStr">
        <is>
          <t>O00036</t>
        </is>
      </c>
      <c r="B37" t="inlineStr">
        <is>
          <t>C009</t>
        </is>
      </c>
      <c r="C37" t="n">
        <v>1194</v>
      </c>
      <c r="D37" t="inlineStr">
        <is>
          <t>R025</t>
        </is>
      </c>
      <c r="E37">
        <f>IFERROR(INDEX(Routes!$C$2:$C$31,MATCH(D37,Routes!$A$2:$A$31,0))*FUEL_PRICE,0)</f>
        <v/>
      </c>
    </row>
    <row r="38">
      <c r="A38" s="42" t="inlineStr">
        <is>
          <t>O00037</t>
        </is>
      </c>
      <c r="B38" s="42" t="inlineStr">
        <is>
          <t>C004</t>
        </is>
      </c>
      <c r="C38" s="42" t="n">
        <v>1492</v>
      </c>
      <c r="D38" s="42" t="inlineStr">
        <is>
          <t>R015</t>
        </is>
      </c>
      <c r="E38" s="42">
        <f>IFERROR(INDEX(Routes!$C$2:$C$31,MATCH(D38,Routes!$A$2:$A$31,0))*FUEL_PRICE,0)</f>
        <v/>
      </c>
    </row>
    <row r="39">
      <c r="A39" t="inlineStr">
        <is>
          <t>O00038</t>
        </is>
      </c>
      <c r="B39" t="inlineStr">
        <is>
          <t>C010</t>
        </is>
      </c>
      <c r="C39" t="n">
        <v>801</v>
      </c>
      <c r="D39" t="inlineStr">
        <is>
          <t>R020</t>
        </is>
      </c>
      <c r="E39">
        <f>IFERROR(INDEX(Routes!$C$2:$C$31,MATCH(D39,Routes!$A$2:$A$31,0))*FUEL_PRICE,0)</f>
        <v/>
      </c>
    </row>
    <row r="40">
      <c r="A40" s="42" t="inlineStr">
        <is>
          <t>O00039</t>
        </is>
      </c>
      <c r="B40" s="42" t="inlineStr">
        <is>
          <t>C016</t>
        </is>
      </c>
      <c r="C40" s="42" t="n">
        <v>1483</v>
      </c>
      <c r="D40" s="42" t="inlineStr">
        <is>
          <t>R024</t>
        </is>
      </c>
      <c r="E40" s="42">
        <f>IFERROR(INDEX(Routes!$C$2:$C$31,MATCH(D40,Routes!$A$2:$A$31,0))*FUEL_PRICE,0)</f>
        <v/>
      </c>
    </row>
    <row r="41">
      <c r="A41" t="inlineStr">
        <is>
          <t>O00040</t>
        </is>
      </c>
      <c r="B41" t="inlineStr">
        <is>
          <t>C023</t>
        </is>
      </c>
      <c r="C41" t="n">
        <v>671</v>
      </c>
      <c r="D41" t="inlineStr">
        <is>
          <t>R004</t>
        </is>
      </c>
      <c r="E41">
        <f>IFERROR(INDEX(Routes!$C$2:$C$31,MATCH(D41,Routes!$A$2:$A$31,0))*FUEL_PRICE,0)</f>
        <v/>
      </c>
    </row>
    <row r="42">
      <c r="A42" s="42" t="inlineStr">
        <is>
          <t>O00041</t>
        </is>
      </c>
      <c r="B42" s="42" t="inlineStr">
        <is>
          <t>C024</t>
        </is>
      </c>
      <c r="C42" s="42" t="n">
        <v>1019</v>
      </c>
      <c r="D42" s="42" t="inlineStr">
        <is>
          <t>R017</t>
        </is>
      </c>
      <c r="E42" s="42">
        <f>IFERROR(INDEX(Routes!$C$2:$C$31,MATCH(D42,Routes!$A$2:$A$31,0))*FUEL_PRICE,0)</f>
        <v/>
      </c>
    </row>
    <row r="43">
      <c r="A43" t="inlineStr">
        <is>
          <t>O00042</t>
        </is>
      </c>
      <c r="B43" t="inlineStr">
        <is>
          <t>C002</t>
        </is>
      </c>
      <c r="C43" t="n">
        <v>267</v>
      </c>
      <c r="D43" t="inlineStr">
        <is>
          <t>R017</t>
        </is>
      </c>
      <c r="E43">
        <f>IFERROR(INDEX(Routes!$C$2:$C$31,MATCH(D43,Routes!$A$2:$A$31,0))*FUEL_PRICE,0)</f>
        <v/>
      </c>
    </row>
    <row r="44">
      <c r="A44" s="42" t="inlineStr">
        <is>
          <t>O00043</t>
        </is>
      </c>
      <c r="B44" s="42" t="inlineStr">
        <is>
          <t>C008</t>
        </is>
      </c>
      <c r="C44" s="42" t="n">
        <v>278</v>
      </c>
      <c r="D44" s="42" t="inlineStr">
        <is>
          <t>R011</t>
        </is>
      </c>
      <c r="E44" s="42">
        <f>IFERROR(INDEX(Routes!$C$2:$C$31,MATCH(D44,Routes!$A$2:$A$31,0))*FUEL_PRICE,0)</f>
        <v/>
      </c>
    </row>
    <row r="45">
      <c r="A45" t="inlineStr">
        <is>
          <t>O00044</t>
        </is>
      </c>
      <c r="B45" t="inlineStr">
        <is>
          <t>C019</t>
        </is>
      </c>
      <c r="C45" t="n">
        <v>489</v>
      </c>
      <c r="D45" t="inlineStr">
        <is>
          <t>R013</t>
        </is>
      </c>
      <c r="E45">
        <f>IFERROR(INDEX(Routes!$C$2:$C$31,MATCH(D45,Routes!$A$2:$A$31,0))*FUEL_PRICE,0)</f>
        <v/>
      </c>
    </row>
    <row r="46">
      <c r="A46" s="42" t="inlineStr">
        <is>
          <t>O00045</t>
        </is>
      </c>
      <c r="B46" s="42" t="inlineStr">
        <is>
          <t>C018</t>
        </is>
      </c>
      <c r="C46" s="42" t="n">
        <v>1065</v>
      </c>
      <c r="D46" s="42" t="inlineStr">
        <is>
          <t>R020</t>
        </is>
      </c>
      <c r="E46" s="42">
        <f>IFERROR(INDEX(Routes!$C$2:$C$31,MATCH(D46,Routes!$A$2:$A$31,0))*FUEL_PRICE,0)</f>
        <v/>
      </c>
    </row>
    <row r="47">
      <c r="A47" t="inlineStr">
        <is>
          <t>O00046</t>
        </is>
      </c>
      <c r="B47" t="inlineStr">
        <is>
          <t>C001</t>
        </is>
      </c>
      <c r="C47" t="n">
        <v>1283</v>
      </c>
      <c r="D47" t="inlineStr">
        <is>
          <t>R025</t>
        </is>
      </c>
      <c r="E47">
        <f>IFERROR(INDEX(Routes!$C$2:$C$31,MATCH(D47,Routes!$A$2:$A$31,0))*FUEL_PRICE,0)</f>
        <v/>
      </c>
    </row>
    <row r="48">
      <c r="A48" s="42" t="inlineStr">
        <is>
          <t>O00047</t>
        </is>
      </c>
      <c r="B48" s="42" t="inlineStr">
        <is>
          <t>C037</t>
        </is>
      </c>
      <c r="C48" s="42" t="n">
        <v>1420</v>
      </c>
      <c r="D48" s="42" t="inlineStr">
        <is>
          <t>R016</t>
        </is>
      </c>
      <c r="E48" s="42">
        <f>IFERROR(INDEX(Routes!$C$2:$C$31,MATCH(D48,Routes!$A$2:$A$31,0))*FUEL_PRICE,0)</f>
        <v/>
      </c>
    </row>
    <row r="49">
      <c r="A49" t="inlineStr">
        <is>
          <t>O00048</t>
        </is>
      </c>
      <c r="B49" t="inlineStr">
        <is>
          <t>C010</t>
        </is>
      </c>
      <c r="C49" t="n">
        <v>1100</v>
      </c>
      <c r="D49" t="inlineStr">
        <is>
          <t>R006</t>
        </is>
      </c>
      <c r="E49">
        <f>IFERROR(INDEX(Routes!$C$2:$C$31,MATCH(D49,Routes!$A$2:$A$31,0))*FUEL_PRICE,0)</f>
        <v/>
      </c>
    </row>
    <row r="50">
      <c r="A50" s="42" t="inlineStr">
        <is>
          <t>O00049</t>
        </is>
      </c>
      <c r="B50" s="42" t="inlineStr">
        <is>
          <t>C035</t>
        </is>
      </c>
      <c r="C50" s="42" t="n">
        <v>1206</v>
      </c>
      <c r="D50" s="42" t="inlineStr">
        <is>
          <t>R014</t>
        </is>
      </c>
      <c r="E50" s="42">
        <f>IFERROR(INDEX(Routes!$C$2:$C$31,MATCH(D50,Routes!$A$2:$A$31,0))*FUEL_PRICE,0)</f>
        <v/>
      </c>
    </row>
    <row r="51">
      <c r="A51" t="inlineStr">
        <is>
          <t>O00050</t>
        </is>
      </c>
      <c r="B51" t="inlineStr">
        <is>
          <t>C029</t>
        </is>
      </c>
      <c r="C51" t="n">
        <v>1303</v>
      </c>
      <c r="D51" t="inlineStr">
        <is>
          <t>R008</t>
        </is>
      </c>
      <c r="E51">
        <f>IFERROR(INDEX(Routes!$C$2:$C$31,MATCH(D51,Routes!$A$2:$A$31,0))*FUEL_PRICE,0)</f>
        <v/>
      </c>
    </row>
    <row r="52">
      <c r="A52" s="42" t="inlineStr">
        <is>
          <t>O00051</t>
        </is>
      </c>
      <c r="B52" s="42" t="inlineStr">
        <is>
          <t>C011</t>
        </is>
      </c>
      <c r="C52" s="42" t="n">
        <v>1148</v>
      </c>
      <c r="D52" s="42" t="inlineStr">
        <is>
          <t>R006</t>
        </is>
      </c>
      <c r="E52" s="42">
        <f>IFERROR(INDEX(Routes!$C$2:$C$31,MATCH(D52,Routes!$A$2:$A$31,0))*FUEL_PRICE,0)</f>
        <v/>
      </c>
    </row>
    <row r="53">
      <c r="A53" t="inlineStr">
        <is>
          <t>O00052</t>
        </is>
      </c>
      <c r="B53" t="inlineStr">
        <is>
          <t>C034</t>
        </is>
      </c>
      <c r="C53" t="n">
        <v>1493</v>
      </c>
      <c r="D53" t="inlineStr">
        <is>
          <t>R013</t>
        </is>
      </c>
      <c r="E53">
        <f>IFERROR(INDEX(Routes!$C$2:$C$31,MATCH(D53,Routes!$A$2:$A$31,0))*FUEL_PRICE,0)</f>
        <v/>
      </c>
    </row>
    <row r="54">
      <c r="A54" s="42" t="inlineStr">
        <is>
          <t>O00053</t>
        </is>
      </c>
      <c r="B54" s="42" t="inlineStr">
        <is>
          <t>C021</t>
        </is>
      </c>
      <c r="C54" s="42" t="n">
        <v>231</v>
      </c>
      <c r="D54" s="42" t="inlineStr">
        <is>
          <t>R024</t>
        </is>
      </c>
      <c r="E54" s="42">
        <f>IFERROR(INDEX(Routes!$C$2:$C$31,MATCH(D54,Routes!$A$2:$A$31,0))*FUEL_PRICE,0)</f>
        <v/>
      </c>
    </row>
    <row r="55">
      <c r="A55" t="inlineStr">
        <is>
          <t>O00054</t>
        </is>
      </c>
      <c r="B55" t="inlineStr">
        <is>
          <t>C009</t>
        </is>
      </c>
      <c r="C55" t="n">
        <v>368</v>
      </c>
      <c r="D55" t="inlineStr">
        <is>
          <t>R017</t>
        </is>
      </c>
      <c r="E55">
        <f>IFERROR(INDEX(Routes!$C$2:$C$31,MATCH(D55,Routes!$A$2:$A$31,0))*FUEL_PRICE,0)</f>
        <v/>
      </c>
    </row>
    <row r="56">
      <c r="A56" s="42" t="inlineStr">
        <is>
          <t>O00055</t>
        </is>
      </c>
      <c r="B56" s="42" t="inlineStr">
        <is>
          <t>C026</t>
        </is>
      </c>
      <c r="C56" s="42" t="n">
        <v>278</v>
      </c>
      <c r="D56" s="42" t="inlineStr">
        <is>
          <t>R017</t>
        </is>
      </c>
      <c r="E56" s="42">
        <f>IFERROR(INDEX(Routes!$C$2:$C$31,MATCH(D56,Routes!$A$2:$A$31,0))*FUEL_PRICE,0)</f>
        <v/>
      </c>
    </row>
    <row r="57">
      <c r="A57" t="inlineStr">
        <is>
          <t>O00056</t>
        </is>
      </c>
      <c r="B57" t="inlineStr">
        <is>
          <t>C024</t>
        </is>
      </c>
      <c r="C57" t="n">
        <v>266</v>
      </c>
      <c r="D57" t="inlineStr">
        <is>
          <t>R013</t>
        </is>
      </c>
      <c r="E57">
        <f>IFERROR(INDEX(Routes!$C$2:$C$31,MATCH(D57,Routes!$A$2:$A$31,0))*FUEL_PRICE,0)</f>
        <v/>
      </c>
    </row>
    <row r="58">
      <c r="A58" s="42" t="inlineStr">
        <is>
          <t>O00057</t>
        </is>
      </c>
      <c r="B58" s="42" t="inlineStr">
        <is>
          <t>C013</t>
        </is>
      </c>
      <c r="C58" s="42" t="n">
        <v>1367</v>
      </c>
      <c r="D58" s="42" t="inlineStr">
        <is>
          <t>R007</t>
        </is>
      </c>
      <c r="E58" s="42">
        <f>IFERROR(INDEX(Routes!$C$2:$C$31,MATCH(D58,Routes!$A$2:$A$31,0))*FUEL_PRICE,0)</f>
        <v/>
      </c>
    </row>
    <row r="59">
      <c r="A59" t="inlineStr">
        <is>
          <t>O00058</t>
        </is>
      </c>
      <c r="B59" t="inlineStr">
        <is>
          <t>C025</t>
        </is>
      </c>
      <c r="C59" t="n">
        <v>997</v>
      </c>
      <c r="D59" t="inlineStr">
        <is>
          <t>R020</t>
        </is>
      </c>
      <c r="E59">
        <f>IFERROR(INDEX(Routes!$C$2:$C$31,MATCH(D59,Routes!$A$2:$A$31,0))*FUEL_PRICE,0)</f>
        <v/>
      </c>
    </row>
    <row r="60">
      <c r="A60" s="42" t="inlineStr">
        <is>
          <t>O00059</t>
        </is>
      </c>
      <c r="B60" s="42" t="inlineStr">
        <is>
          <t>C006</t>
        </is>
      </c>
      <c r="C60" s="42" t="n">
        <v>427</v>
      </c>
      <c r="D60" s="42" t="inlineStr">
        <is>
          <t>R011</t>
        </is>
      </c>
      <c r="E60" s="42">
        <f>IFERROR(INDEX(Routes!$C$2:$C$31,MATCH(D60,Routes!$A$2:$A$31,0))*FUEL_PRICE,0)</f>
        <v/>
      </c>
    </row>
    <row r="61">
      <c r="A61" t="inlineStr">
        <is>
          <t>O00060</t>
        </is>
      </c>
      <c r="B61" t="inlineStr">
        <is>
          <t>C023</t>
        </is>
      </c>
      <c r="C61" t="n">
        <v>585</v>
      </c>
      <c r="D61" t="inlineStr">
        <is>
          <t>R017</t>
        </is>
      </c>
      <c r="E61">
        <f>IFERROR(INDEX(Routes!$C$2:$C$31,MATCH(D61,Routes!$A$2:$A$31,0))*FUEL_PRICE,0)</f>
        <v/>
      </c>
    </row>
    <row r="62">
      <c r="A62" s="42" t="inlineStr">
        <is>
          <t>O00061</t>
        </is>
      </c>
      <c r="B62" s="42" t="inlineStr">
        <is>
          <t>C007</t>
        </is>
      </c>
      <c r="C62" s="42" t="n">
        <v>633</v>
      </c>
      <c r="D62" s="42" t="inlineStr">
        <is>
          <t>R026</t>
        </is>
      </c>
      <c r="E62" s="42">
        <f>IFERROR(INDEX(Routes!$C$2:$C$31,MATCH(D62,Routes!$A$2:$A$31,0))*FUEL_PRICE,0)</f>
        <v/>
      </c>
    </row>
    <row r="63">
      <c r="A63" t="inlineStr">
        <is>
          <t>O00062</t>
        </is>
      </c>
      <c r="B63" t="inlineStr">
        <is>
          <t>C027</t>
        </is>
      </c>
      <c r="C63" t="n">
        <v>225</v>
      </c>
      <c r="D63" t="inlineStr">
        <is>
          <t>R015</t>
        </is>
      </c>
      <c r="E63">
        <f>IFERROR(INDEX(Routes!$C$2:$C$31,MATCH(D63,Routes!$A$2:$A$31,0))*FUEL_PRICE,0)</f>
        <v/>
      </c>
    </row>
    <row r="64">
      <c r="A64" s="42" t="inlineStr">
        <is>
          <t>O00063</t>
        </is>
      </c>
      <c r="B64" s="42" t="inlineStr">
        <is>
          <t>C011</t>
        </is>
      </c>
      <c r="C64" s="42" t="n">
        <v>1224</v>
      </c>
      <c r="D64" s="42" t="inlineStr">
        <is>
          <t>R009</t>
        </is>
      </c>
      <c r="E64" s="42">
        <f>IFERROR(INDEX(Routes!$C$2:$C$31,MATCH(D64,Routes!$A$2:$A$31,0))*FUEL_PRICE,0)</f>
        <v/>
      </c>
    </row>
    <row r="65">
      <c r="A65" t="inlineStr">
        <is>
          <t>O00064</t>
        </is>
      </c>
      <c r="B65" t="inlineStr">
        <is>
          <t>C034</t>
        </is>
      </c>
      <c r="C65" t="n">
        <v>280</v>
      </c>
      <c r="D65" t="inlineStr">
        <is>
          <t>R028</t>
        </is>
      </c>
      <c r="E65">
        <f>IFERROR(INDEX(Routes!$C$2:$C$31,MATCH(D65,Routes!$A$2:$A$31,0))*FUEL_PRICE,0)</f>
        <v/>
      </c>
    </row>
    <row r="66">
      <c r="A66" s="42" t="inlineStr">
        <is>
          <t>O00065</t>
        </is>
      </c>
      <c r="B66" s="42" t="inlineStr">
        <is>
          <t>C027</t>
        </is>
      </c>
      <c r="C66" s="42" t="n">
        <v>82</v>
      </c>
      <c r="D66" s="42" t="inlineStr">
        <is>
          <t>R029</t>
        </is>
      </c>
      <c r="E66" s="42">
        <f>IFERROR(INDEX(Routes!$C$2:$C$31,MATCH(D66,Routes!$A$2:$A$31,0))*FUEL_PRICE,0)</f>
        <v/>
      </c>
    </row>
    <row r="67">
      <c r="A67" t="inlineStr">
        <is>
          <t>O00066</t>
        </is>
      </c>
      <c r="B67" t="inlineStr">
        <is>
          <t>C015</t>
        </is>
      </c>
      <c r="C67" t="n">
        <v>1382</v>
      </c>
      <c r="D67" t="inlineStr">
        <is>
          <t>R010</t>
        </is>
      </c>
      <c r="E67">
        <f>IFERROR(INDEX(Routes!$C$2:$C$31,MATCH(D67,Routes!$A$2:$A$31,0))*FUEL_PRICE,0)</f>
        <v/>
      </c>
    </row>
    <row r="68">
      <c r="A68" s="42" t="inlineStr">
        <is>
          <t>O00067</t>
        </is>
      </c>
      <c r="B68" s="42" t="inlineStr">
        <is>
          <t>C009</t>
        </is>
      </c>
      <c r="C68" s="42" t="n">
        <v>1469</v>
      </c>
      <c r="D68" s="42" t="inlineStr">
        <is>
          <t>R026</t>
        </is>
      </c>
      <c r="E68" s="42">
        <f>IFERROR(INDEX(Routes!$C$2:$C$31,MATCH(D68,Routes!$A$2:$A$31,0))*FUEL_PRICE,0)</f>
        <v/>
      </c>
    </row>
    <row r="69">
      <c r="A69" t="inlineStr">
        <is>
          <t>O00068</t>
        </is>
      </c>
      <c r="B69" t="inlineStr">
        <is>
          <t>C038</t>
        </is>
      </c>
      <c r="C69" t="n">
        <v>436</v>
      </c>
      <c r="D69" t="inlineStr">
        <is>
          <t>R026</t>
        </is>
      </c>
      <c r="E69">
        <f>IFERROR(INDEX(Routes!$C$2:$C$31,MATCH(D69,Routes!$A$2:$A$31,0))*FUEL_PRICE,0)</f>
        <v/>
      </c>
    </row>
    <row r="70">
      <c r="A70" s="42" t="inlineStr">
        <is>
          <t>O00069</t>
        </is>
      </c>
      <c r="B70" s="42" t="inlineStr">
        <is>
          <t>C014</t>
        </is>
      </c>
      <c r="C70" s="42" t="n">
        <v>985</v>
      </c>
      <c r="D70" s="42" t="inlineStr">
        <is>
          <t>R019</t>
        </is>
      </c>
      <c r="E70" s="42">
        <f>IFERROR(INDEX(Routes!$C$2:$C$31,MATCH(D70,Routes!$A$2:$A$31,0))*FUEL_PRICE,0)</f>
        <v/>
      </c>
    </row>
    <row r="71">
      <c r="A71" t="inlineStr">
        <is>
          <t>O00070</t>
        </is>
      </c>
      <c r="B71" t="inlineStr">
        <is>
          <t>C020</t>
        </is>
      </c>
      <c r="C71" t="n">
        <v>638</v>
      </c>
      <c r="D71" t="inlineStr">
        <is>
          <t>R026</t>
        </is>
      </c>
      <c r="E71">
        <f>IFERROR(INDEX(Routes!$C$2:$C$31,MATCH(D71,Routes!$A$2:$A$31,0))*FUEL_PRICE,0)</f>
        <v/>
      </c>
    </row>
    <row r="72">
      <c r="A72" s="42" t="inlineStr">
        <is>
          <t>O00071</t>
        </is>
      </c>
      <c r="B72" s="42" t="inlineStr">
        <is>
          <t>C005</t>
        </is>
      </c>
      <c r="C72" s="42" t="n">
        <v>131</v>
      </c>
      <c r="D72" s="42" t="inlineStr">
        <is>
          <t>R030</t>
        </is>
      </c>
      <c r="E72" s="42">
        <f>IFERROR(INDEX(Routes!$C$2:$C$31,MATCH(D72,Routes!$A$2:$A$31,0))*FUEL_PRICE,0)</f>
        <v/>
      </c>
    </row>
    <row r="73">
      <c r="A73" t="inlineStr">
        <is>
          <t>O00072</t>
        </is>
      </c>
      <c r="B73" t="inlineStr">
        <is>
          <t>C004</t>
        </is>
      </c>
      <c r="C73" t="n">
        <v>554</v>
      </c>
      <c r="D73" t="inlineStr">
        <is>
          <t>R018</t>
        </is>
      </c>
      <c r="E73">
        <f>IFERROR(INDEX(Routes!$C$2:$C$31,MATCH(D73,Routes!$A$2:$A$31,0))*FUEL_PRICE,0)</f>
        <v/>
      </c>
    </row>
    <row r="74">
      <c r="A74" s="42" t="inlineStr">
        <is>
          <t>O00073</t>
        </is>
      </c>
      <c r="B74" s="42" t="inlineStr">
        <is>
          <t>C027</t>
        </is>
      </c>
      <c r="C74" s="42" t="n">
        <v>503</v>
      </c>
      <c r="D74" s="42" t="inlineStr">
        <is>
          <t>R006</t>
        </is>
      </c>
      <c r="E74" s="42">
        <f>IFERROR(INDEX(Routes!$C$2:$C$31,MATCH(D74,Routes!$A$2:$A$31,0))*FUEL_PRICE,0)</f>
        <v/>
      </c>
    </row>
    <row r="75">
      <c r="A75" t="inlineStr">
        <is>
          <t>O00074</t>
        </is>
      </c>
      <c r="B75" t="inlineStr">
        <is>
          <t>C028</t>
        </is>
      </c>
      <c r="C75" t="n">
        <v>811</v>
      </c>
      <c r="D75" t="inlineStr">
        <is>
          <t>R018</t>
        </is>
      </c>
      <c r="E75">
        <f>IFERROR(INDEX(Routes!$C$2:$C$31,MATCH(D75,Routes!$A$2:$A$31,0))*FUEL_PRICE,0)</f>
        <v/>
      </c>
    </row>
    <row r="76">
      <c r="A76" s="42" t="inlineStr">
        <is>
          <t>O00075</t>
        </is>
      </c>
      <c r="B76" s="42" t="inlineStr">
        <is>
          <t>C006</t>
        </is>
      </c>
      <c r="C76" s="42" t="n">
        <v>1218</v>
      </c>
      <c r="D76" s="42" t="inlineStr">
        <is>
          <t>R022</t>
        </is>
      </c>
      <c r="E76" s="42">
        <f>IFERROR(INDEX(Routes!$C$2:$C$31,MATCH(D76,Routes!$A$2:$A$31,0))*FUEL_PRICE,0)</f>
        <v/>
      </c>
    </row>
    <row r="77">
      <c r="A77" t="inlineStr">
        <is>
          <t>O00076</t>
        </is>
      </c>
      <c r="B77" t="inlineStr">
        <is>
          <t>C025</t>
        </is>
      </c>
      <c r="C77" t="n">
        <v>1152</v>
      </c>
      <c r="D77" t="inlineStr">
        <is>
          <t>R021</t>
        </is>
      </c>
      <c r="E77">
        <f>IFERROR(INDEX(Routes!$C$2:$C$31,MATCH(D77,Routes!$A$2:$A$31,0))*FUEL_PRICE,0)</f>
        <v/>
      </c>
    </row>
    <row r="78">
      <c r="A78" s="42" t="inlineStr">
        <is>
          <t>O00077</t>
        </is>
      </c>
      <c r="B78" s="42" t="inlineStr">
        <is>
          <t>C018</t>
        </is>
      </c>
      <c r="C78" s="42" t="n">
        <v>680</v>
      </c>
      <c r="D78" s="42" t="inlineStr">
        <is>
          <t>R017</t>
        </is>
      </c>
      <c r="E78" s="42">
        <f>IFERROR(INDEX(Routes!$C$2:$C$31,MATCH(D78,Routes!$A$2:$A$31,0))*FUEL_PRICE,0)</f>
        <v/>
      </c>
    </row>
    <row r="79">
      <c r="A79" t="inlineStr">
        <is>
          <t>O00078</t>
        </is>
      </c>
      <c r="B79" t="inlineStr">
        <is>
          <t>C007</t>
        </is>
      </c>
      <c r="C79" t="n">
        <v>292</v>
      </c>
      <c r="D79" t="inlineStr">
        <is>
          <t>R026</t>
        </is>
      </c>
      <c r="E79">
        <f>IFERROR(INDEX(Routes!$C$2:$C$31,MATCH(D79,Routes!$A$2:$A$31,0))*FUEL_PRICE,0)</f>
        <v/>
      </c>
    </row>
    <row r="80">
      <c r="A80" s="42" t="inlineStr">
        <is>
          <t>O00079</t>
        </is>
      </c>
      <c r="B80" s="42" t="inlineStr">
        <is>
          <t>C040</t>
        </is>
      </c>
      <c r="C80" s="42" t="n">
        <v>867</v>
      </c>
      <c r="D80" s="42" t="inlineStr">
        <is>
          <t>R024</t>
        </is>
      </c>
      <c r="E80" s="42">
        <f>IFERROR(INDEX(Routes!$C$2:$C$31,MATCH(D80,Routes!$A$2:$A$31,0))*FUEL_PRICE,0)</f>
        <v/>
      </c>
    </row>
    <row r="81">
      <c r="A81" t="inlineStr">
        <is>
          <t>O00080</t>
        </is>
      </c>
      <c r="B81" t="inlineStr">
        <is>
          <t>C016</t>
        </is>
      </c>
      <c r="C81" t="n">
        <v>1292</v>
      </c>
      <c r="D81" t="inlineStr">
        <is>
          <t>R009</t>
        </is>
      </c>
      <c r="E81">
        <f>IFERROR(INDEX(Routes!$C$2:$C$31,MATCH(D81,Routes!$A$2:$A$31,0))*FUEL_PRICE,0)</f>
        <v/>
      </c>
    </row>
    <row r="82">
      <c r="A82" s="42" t="inlineStr">
        <is>
          <t>O00081</t>
        </is>
      </c>
      <c r="B82" s="42" t="inlineStr">
        <is>
          <t>C015</t>
        </is>
      </c>
      <c r="C82" s="42" t="n">
        <v>169</v>
      </c>
      <c r="D82" s="42" t="inlineStr">
        <is>
          <t>R004</t>
        </is>
      </c>
      <c r="E82" s="42">
        <f>IFERROR(INDEX(Routes!$C$2:$C$31,MATCH(D82,Routes!$A$2:$A$31,0))*FUEL_PRICE,0)</f>
        <v/>
      </c>
    </row>
    <row r="83">
      <c r="A83" t="inlineStr">
        <is>
          <t>O00082</t>
        </is>
      </c>
      <c r="B83" t="inlineStr">
        <is>
          <t>C023</t>
        </is>
      </c>
      <c r="C83" t="n">
        <v>1197</v>
      </c>
      <c r="D83" t="inlineStr">
        <is>
          <t>R005</t>
        </is>
      </c>
      <c r="E83">
        <f>IFERROR(INDEX(Routes!$C$2:$C$31,MATCH(D83,Routes!$A$2:$A$31,0))*FUEL_PRICE,0)</f>
        <v/>
      </c>
    </row>
    <row r="84">
      <c r="A84" s="42" t="inlineStr">
        <is>
          <t>O00083</t>
        </is>
      </c>
      <c r="B84" s="42" t="inlineStr">
        <is>
          <t>C014</t>
        </is>
      </c>
      <c r="C84" s="42" t="n">
        <v>111</v>
      </c>
      <c r="D84" s="42" t="inlineStr">
        <is>
          <t>R021</t>
        </is>
      </c>
      <c r="E84" s="42">
        <f>IFERROR(INDEX(Routes!$C$2:$C$31,MATCH(D84,Routes!$A$2:$A$31,0))*FUEL_PRICE,0)</f>
        <v/>
      </c>
    </row>
    <row r="85">
      <c r="A85" t="inlineStr">
        <is>
          <t>O00084</t>
        </is>
      </c>
      <c r="B85" t="inlineStr">
        <is>
          <t>C025</t>
        </is>
      </c>
      <c r="C85" t="n">
        <v>778</v>
      </c>
      <c r="D85" t="inlineStr">
        <is>
          <t>R027</t>
        </is>
      </c>
      <c r="E85">
        <f>IFERROR(INDEX(Routes!$C$2:$C$31,MATCH(D85,Routes!$A$2:$A$31,0))*FUEL_PRICE,0)</f>
        <v/>
      </c>
    </row>
    <row r="86">
      <c r="A86" s="42" t="inlineStr">
        <is>
          <t>O00085</t>
        </is>
      </c>
      <c r="B86" s="42" t="inlineStr">
        <is>
          <t>C009</t>
        </is>
      </c>
      <c r="C86" s="42" t="n">
        <v>505</v>
      </c>
      <c r="D86" s="42" t="inlineStr">
        <is>
          <t>R027</t>
        </is>
      </c>
      <c r="E86" s="42">
        <f>IFERROR(INDEX(Routes!$C$2:$C$31,MATCH(D86,Routes!$A$2:$A$31,0))*FUEL_PRICE,0)</f>
        <v/>
      </c>
    </row>
    <row r="87">
      <c r="A87" t="inlineStr">
        <is>
          <t>O00086</t>
        </is>
      </c>
      <c r="B87" t="inlineStr">
        <is>
          <t>C027</t>
        </is>
      </c>
      <c r="C87" t="n">
        <v>827</v>
      </c>
      <c r="D87" t="inlineStr">
        <is>
          <t>R019</t>
        </is>
      </c>
      <c r="E87">
        <f>IFERROR(INDEX(Routes!$C$2:$C$31,MATCH(D87,Routes!$A$2:$A$31,0))*FUEL_PRICE,0)</f>
        <v/>
      </c>
    </row>
    <row r="88">
      <c r="A88" s="42" t="inlineStr">
        <is>
          <t>O00087</t>
        </is>
      </c>
      <c r="B88" s="42" t="inlineStr">
        <is>
          <t>C013</t>
        </is>
      </c>
      <c r="C88" s="42" t="n">
        <v>1116</v>
      </c>
      <c r="D88" s="42" t="inlineStr">
        <is>
          <t>R003</t>
        </is>
      </c>
      <c r="E88" s="42">
        <f>IFERROR(INDEX(Routes!$C$2:$C$31,MATCH(D88,Routes!$A$2:$A$31,0))*FUEL_PRICE,0)</f>
        <v/>
      </c>
    </row>
    <row r="89">
      <c r="A89" t="inlineStr">
        <is>
          <t>O00088</t>
        </is>
      </c>
      <c r="B89" t="inlineStr">
        <is>
          <t>C021</t>
        </is>
      </c>
      <c r="C89" t="n">
        <v>54</v>
      </c>
      <c r="D89" t="inlineStr">
        <is>
          <t>R008</t>
        </is>
      </c>
      <c r="E89">
        <f>IFERROR(INDEX(Routes!$C$2:$C$31,MATCH(D89,Routes!$A$2:$A$31,0))*FUEL_PRICE,0)</f>
        <v/>
      </c>
    </row>
    <row r="90">
      <c r="A90" s="42" t="inlineStr">
        <is>
          <t>O00089</t>
        </is>
      </c>
      <c r="B90" s="42" t="inlineStr">
        <is>
          <t>C013</t>
        </is>
      </c>
      <c r="C90" s="42" t="n">
        <v>1224</v>
      </c>
      <c r="D90" s="42" t="inlineStr">
        <is>
          <t>R006</t>
        </is>
      </c>
      <c r="E90" s="42">
        <f>IFERROR(INDEX(Routes!$C$2:$C$31,MATCH(D90,Routes!$A$2:$A$31,0))*FUEL_PRICE,0)</f>
        <v/>
      </c>
    </row>
    <row r="91">
      <c r="A91" t="inlineStr">
        <is>
          <t>O00090</t>
        </is>
      </c>
      <c r="B91" t="inlineStr">
        <is>
          <t>C022</t>
        </is>
      </c>
      <c r="C91" t="n">
        <v>1004</v>
      </c>
      <c r="D91" t="inlineStr">
        <is>
          <t>R020</t>
        </is>
      </c>
      <c r="E91">
        <f>IFERROR(INDEX(Routes!$C$2:$C$31,MATCH(D91,Routes!$A$2:$A$31,0))*FUEL_PRICE,0)</f>
        <v/>
      </c>
    </row>
    <row r="92">
      <c r="A92" s="42" t="inlineStr">
        <is>
          <t>O00091</t>
        </is>
      </c>
      <c r="B92" s="42" t="inlineStr">
        <is>
          <t>C002</t>
        </is>
      </c>
      <c r="C92" s="42" t="n">
        <v>384</v>
      </c>
      <c r="D92" s="42" t="inlineStr">
        <is>
          <t>R011</t>
        </is>
      </c>
      <c r="E92" s="42">
        <f>IFERROR(INDEX(Routes!$C$2:$C$31,MATCH(D92,Routes!$A$2:$A$31,0))*FUEL_PRICE,0)</f>
        <v/>
      </c>
    </row>
    <row r="93">
      <c r="A93" t="inlineStr">
        <is>
          <t>O00092</t>
        </is>
      </c>
      <c r="B93" t="inlineStr">
        <is>
          <t>C037</t>
        </is>
      </c>
      <c r="C93" t="n">
        <v>719</v>
      </c>
      <c r="D93" t="inlineStr">
        <is>
          <t>R018</t>
        </is>
      </c>
      <c r="E93">
        <f>IFERROR(INDEX(Routes!$C$2:$C$31,MATCH(D93,Routes!$A$2:$A$31,0))*FUEL_PRICE,0)</f>
        <v/>
      </c>
    </row>
    <row r="94">
      <c r="A94" s="42" t="inlineStr">
        <is>
          <t>O00093</t>
        </is>
      </c>
      <c r="B94" s="42" t="inlineStr">
        <is>
          <t>C013</t>
        </is>
      </c>
      <c r="C94" s="42" t="n">
        <v>1139</v>
      </c>
      <c r="D94" s="42" t="inlineStr">
        <is>
          <t>R003</t>
        </is>
      </c>
      <c r="E94" s="42">
        <f>IFERROR(INDEX(Routes!$C$2:$C$31,MATCH(D94,Routes!$A$2:$A$31,0))*FUEL_PRICE,0)</f>
        <v/>
      </c>
    </row>
    <row r="95">
      <c r="A95" t="inlineStr">
        <is>
          <t>O00094</t>
        </is>
      </c>
      <c r="B95" t="inlineStr">
        <is>
          <t>C023</t>
        </is>
      </c>
      <c r="C95" t="n">
        <v>714</v>
      </c>
      <c r="D95" t="inlineStr">
        <is>
          <t>R016</t>
        </is>
      </c>
      <c r="E95">
        <f>IFERROR(INDEX(Routes!$C$2:$C$31,MATCH(D95,Routes!$A$2:$A$31,0))*FUEL_PRICE,0)</f>
        <v/>
      </c>
    </row>
    <row r="96">
      <c r="A96" s="42" t="inlineStr">
        <is>
          <t>O00095</t>
        </is>
      </c>
      <c r="B96" s="42" t="inlineStr">
        <is>
          <t>C023</t>
        </is>
      </c>
      <c r="C96" s="42" t="n">
        <v>1415</v>
      </c>
      <c r="D96" s="42" t="inlineStr">
        <is>
          <t>R003</t>
        </is>
      </c>
      <c r="E96" s="42">
        <f>IFERROR(INDEX(Routes!$C$2:$C$31,MATCH(D96,Routes!$A$2:$A$31,0))*FUEL_PRICE,0)</f>
        <v/>
      </c>
    </row>
    <row r="97">
      <c r="A97" t="inlineStr">
        <is>
          <t>O00096</t>
        </is>
      </c>
      <c r="B97" t="inlineStr">
        <is>
          <t>C013</t>
        </is>
      </c>
      <c r="C97" t="n">
        <v>145</v>
      </c>
      <c r="D97" t="inlineStr">
        <is>
          <t>R023</t>
        </is>
      </c>
      <c r="E97">
        <f>IFERROR(INDEX(Routes!$C$2:$C$31,MATCH(D97,Routes!$A$2:$A$31,0))*FUEL_PRICE,0)</f>
        <v/>
      </c>
    </row>
    <row r="98">
      <c r="A98" s="42" t="inlineStr">
        <is>
          <t>O00097</t>
        </is>
      </c>
      <c r="B98" s="42" t="inlineStr">
        <is>
          <t>C015</t>
        </is>
      </c>
      <c r="C98" s="42" t="n">
        <v>453</v>
      </c>
      <c r="D98" s="42" t="inlineStr">
        <is>
          <t>R028</t>
        </is>
      </c>
      <c r="E98" s="42">
        <f>IFERROR(INDEX(Routes!$C$2:$C$31,MATCH(D98,Routes!$A$2:$A$31,0))*FUEL_PRICE,0)</f>
        <v/>
      </c>
    </row>
    <row r="99">
      <c r="A99" t="inlineStr">
        <is>
          <t>O00098</t>
        </is>
      </c>
      <c r="B99" t="inlineStr">
        <is>
          <t>C017</t>
        </is>
      </c>
      <c r="C99" t="n">
        <v>1364</v>
      </c>
      <c r="D99" t="inlineStr">
        <is>
          <t>R029</t>
        </is>
      </c>
      <c r="E99">
        <f>IFERROR(INDEX(Routes!$C$2:$C$31,MATCH(D99,Routes!$A$2:$A$31,0))*FUEL_PRICE,0)</f>
        <v/>
      </c>
    </row>
    <row r="100">
      <c r="A100" s="42" t="inlineStr">
        <is>
          <t>O00099</t>
        </is>
      </c>
      <c r="B100" s="42" t="inlineStr">
        <is>
          <t>C024</t>
        </is>
      </c>
      <c r="C100" s="42" t="n">
        <v>580</v>
      </c>
      <c r="D100" s="42" t="inlineStr">
        <is>
          <t>R013</t>
        </is>
      </c>
      <c r="E100" s="42">
        <f>IFERROR(INDEX(Routes!$C$2:$C$31,MATCH(D100,Routes!$A$2:$A$31,0))*FUEL_PRICE,0)</f>
        <v/>
      </c>
    </row>
    <row r="101">
      <c r="A101" t="inlineStr">
        <is>
          <t>O00100</t>
        </is>
      </c>
      <c r="B101" t="inlineStr">
        <is>
          <t>C012</t>
        </is>
      </c>
      <c r="C101" t="n">
        <v>1016</v>
      </c>
      <c r="D101" t="inlineStr">
        <is>
          <t>R008</t>
        </is>
      </c>
      <c r="E101">
        <f>IFERROR(INDEX(Routes!$C$2:$C$31,MATCH(D101,Routes!$A$2:$A$31,0))*FUEL_PRICE,0)</f>
        <v/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41"/>
  <sheetViews>
    <sheetView workbookViewId="0">
      <selection activeCell="A1" sqref="A1"/>
    </sheetView>
  </sheetViews>
  <sheetFormatPr baseColWidth="8" defaultRowHeight="15"/>
  <sheetData>
    <row r="1">
      <c r="A1" s="41" t="inlineStr">
        <is>
          <t>CustomerID</t>
        </is>
      </c>
      <c r="B1" s="41" t="inlineStr">
        <is>
          <t>City</t>
        </is>
      </c>
      <c r="C1" s="41" t="inlineStr">
        <is>
          <t>TimeWindowStart</t>
        </is>
      </c>
      <c r="D1" s="41" t="inlineStr">
        <is>
          <t>TimeWindowEnd</t>
        </is>
      </c>
    </row>
    <row r="2">
      <c r="A2" s="42" t="inlineStr">
        <is>
          <t>C001</t>
        </is>
      </c>
      <c r="B2" s="42" t="inlineStr">
        <is>
          <t>Qingdao</t>
        </is>
      </c>
      <c r="C2" s="42" t="inlineStr">
        <is>
          <t>13:00</t>
        </is>
      </c>
      <c r="D2" s="42" t="inlineStr">
        <is>
          <t>15:00</t>
        </is>
      </c>
    </row>
    <row r="3">
      <c r="A3" t="inlineStr">
        <is>
          <t>C002</t>
        </is>
      </c>
      <c r="B3" t="inlineStr">
        <is>
          <t>Chengdu</t>
        </is>
      </c>
      <c r="C3" t="inlineStr">
        <is>
          <t>10:00</t>
        </is>
      </c>
      <c r="D3" t="inlineStr">
        <is>
          <t>15:00</t>
        </is>
      </c>
    </row>
    <row r="4">
      <c r="A4" s="42" t="inlineStr">
        <is>
          <t>C003</t>
        </is>
      </c>
      <c r="B4" s="42" t="inlineStr">
        <is>
          <t>Ningbo</t>
        </is>
      </c>
      <c r="C4" s="42" t="inlineStr">
        <is>
          <t>06:00</t>
        </is>
      </c>
      <c r="D4" s="42" t="inlineStr">
        <is>
          <t>11:00</t>
        </is>
      </c>
    </row>
    <row r="5">
      <c r="A5" t="inlineStr">
        <is>
          <t>C004</t>
        </is>
      </c>
      <c r="B5" t="inlineStr">
        <is>
          <t>Guangzhou</t>
        </is>
      </c>
      <c r="C5" t="inlineStr">
        <is>
          <t>08:00</t>
        </is>
      </c>
      <c r="D5" t="inlineStr">
        <is>
          <t>10:00</t>
        </is>
      </c>
    </row>
    <row r="6">
      <c r="A6" s="42" t="inlineStr">
        <is>
          <t>C005</t>
        </is>
      </c>
      <c r="B6" s="42" t="inlineStr">
        <is>
          <t>Hefei</t>
        </is>
      </c>
      <c r="C6" s="42" t="inlineStr">
        <is>
          <t>09:00</t>
        </is>
      </c>
      <c r="D6" s="42" t="inlineStr">
        <is>
          <t>13:00</t>
        </is>
      </c>
    </row>
    <row r="7">
      <c r="A7" t="inlineStr">
        <is>
          <t>C006</t>
        </is>
      </c>
      <c r="B7" t="inlineStr">
        <is>
          <t>Chengdu</t>
        </is>
      </c>
      <c r="C7" t="inlineStr">
        <is>
          <t>07:00</t>
        </is>
      </c>
      <c r="D7" t="inlineStr">
        <is>
          <t>09:00</t>
        </is>
      </c>
    </row>
    <row r="8">
      <c r="A8" s="42" t="inlineStr">
        <is>
          <t>C007</t>
        </is>
      </c>
      <c r="B8" s="42" t="inlineStr">
        <is>
          <t>Foshan</t>
        </is>
      </c>
      <c r="C8" s="42" t="inlineStr">
        <is>
          <t>11:00</t>
        </is>
      </c>
      <c r="D8" s="42" t="inlineStr">
        <is>
          <t>16:00</t>
        </is>
      </c>
    </row>
    <row r="9">
      <c r="A9" t="inlineStr">
        <is>
          <t>C008</t>
        </is>
      </c>
      <c r="B9" t="inlineStr">
        <is>
          <t>Jinan</t>
        </is>
      </c>
      <c r="C9" t="inlineStr">
        <is>
          <t>11:00</t>
        </is>
      </c>
      <c r="D9" t="inlineStr">
        <is>
          <t>15:00</t>
        </is>
      </c>
    </row>
    <row r="10">
      <c r="A10" s="42" t="inlineStr">
        <is>
          <t>C009</t>
        </is>
      </c>
      <c r="B10" s="42" t="inlineStr">
        <is>
          <t>Guangzhou</t>
        </is>
      </c>
      <c r="C10" s="42" t="inlineStr">
        <is>
          <t>09:00</t>
        </is>
      </c>
      <c r="D10" s="42" t="inlineStr">
        <is>
          <t>14:00</t>
        </is>
      </c>
    </row>
    <row r="11">
      <c r="A11" t="inlineStr">
        <is>
          <t>C010</t>
        </is>
      </c>
      <c r="B11" t="inlineStr">
        <is>
          <t>Zhengzhou</t>
        </is>
      </c>
      <c r="C11" t="inlineStr">
        <is>
          <t>12:00</t>
        </is>
      </c>
      <c r="D11" t="inlineStr">
        <is>
          <t>14:00</t>
        </is>
      </c>
    </row>
    <row r="12">
      <c r="A12" s="42" t="inlineStr">
        <is>
          <t>C011</t>
        </is>
      </c>
      <c r="B12" s="42" t="inlineStr">
        <is>
          <t>Beijing</t>
        </is>
      </c>
      <c r="C12" s="42" t="inlineStr">
        <is>
          <t>12:00</t>
        </is>
      </c>
      <c r="D12" s="42" t="inlineStr">
        <is>
          <t>14:00</t>
        </is>
      </c>
    </row>
    <row r="13">
      <c r="A13" t="inlineStr">
        <is>
          <t>C012</t>
        </is>
      </c>
      <c r="B13" t="inlineStr">
        <is>
          <t>Jinan</t>
        </is>
      </c>
      <c r="C13" t="inlineStr">
        <is>
          <t>13:00</t>
        </is>
      </c>
      <c r="D13" t="inlineStr">
        <is>
          <t>17:00</t>
        </is>
      </c>
    </row>
    <row r="14">
      <c r="A14" s="42" t="inlineStr">
        <is>
          <t>C013</t>
        </is>
      </c>
      <c r="B14" s="42" t="inlineStr">
        <is>
          <t>Hangzhou</t>
        </is>
      </c>
      <c r="C14" s="42" t="inlineStr">
        <is>
          <t>12:00</t>
        </is>
      </c>
      <c r="D14" s="42" t="inlineStr">
        <is>
          <t>14:00</t>
        </is>
      </c>
    </row>
    <row r="15">
      <c r="A15" t="inlineStr">
        <is>
          <t>C014</t>
        </is>
      </c>
      <c r="B15" t="inlineStr">
        <is>
          <t>Qingdao</t>
        </is>
      </c>
      <c r="C15" t="inlineStr">
        <is>
          <t>08:00</t>
        </is>
      </c>
      <c r="D15" t="inlineStr">
        <is>
          <t>13:00</t>
        </is>
      </c>
    </row>
    <row r="16">
      <c r="A16" s="42" t="inlineStr">
        <is>
          <t>C015</t>
        </is>
      </c>
      <c r="B16" s="42" t="inlineStr">
        <is>
          <t>Ningbo</t>
        </is>
      </c>
      <c r="C16" s="42" t="inlineStr">
        <is>
          <t>08:00</t>
        </is>
      </c>
      <c r="D16" s="42" t="inlineStr">
        <is>
          <t>13:00</t>
        </is>
      </c>
    </row>
    <row r="17">
      <c r="A17" t="inlineStr">
        <is>
          <t>C016</t>
        </is>
      </c>
      <c r="B17" t="inlineStr">
        <is>
          <t>Hefei</t>
        </is>
      </c>
      <c r="C17" t="inlineStr">
        <is>
          <t>07:00</t>
        </is>
      </c>
      <c r="D17" t="inlineStr">
        <is>
          <t>09:00</t>
        </is>
      </c>
    </row>
    <row r="18">
      <c r="A18" s="42" t="inlineStr">
        <is>
          <t>C017</t>
        </is>
      </c>
      <c r="B18" s="42" t="inlineStr">
        <is>
          <t>Foshan</t>
        </is>
      </c>
      <c r="C18" s="42" t="inlineStr">
        <is>
          <t>07:00</t>
        </is>
      </c>
      <c r="D18" s="42" t="inlineStr">
        <is>
          <t>10:00</t>
        </is>
      </c>
    </row>
    <row r="19">
      <c r="A19" t="inlineStr">
        <is>
          <t>C018</t>
        </is>
      </c>
      <c r="B19" t="inlineStr">
        <is>
          <t>Wuhan</t>
        </is>
      </c>
      <c r="C19" t="inlineStr">
        <is>
          <t>09:00</t>
        </is>
      </c>
      <c r="D19" t="inlineStr">
        <is>
          <t>11:00</t>
        </is>
      </c>
    </row>
    <row r="20">
      <c r="A20" s="42" t="inlineStr">
        <is>
          <t>C019</t>
        </is>
      </c>
      <c r="B20" s="42" t="inlineStr">
        <is>
          <t>Beijing</t>
        </is>
      </c>
      <c r="C20" s="42" t="inlineStr">
        <is>
          <t>14:00</t>
        </is>
      </c>
      <c r="D20" s="42" t="inlineStr">
        <is>
          <t>17:00</t>
        </is>
      </c>
    </row>
    <row r="21">
      <c r="A21" t="inlineStr">
        <is>
          <t>C020</t>
        </is>
      </c>
      <c r="B21" t="inlineStr">
        <is>
          <t>Xiamen</t>
        </is>
      </c>
      <c r="C21" t="inlineStr">
        <is>
          <t>13:00</t>
        </is>
      </c>
      <c r="D21" t="inlineStr">
        <is>
          <t>17:00</t>
        </is>
      </c>
    </row>
    <row r="22">
      <c r="A22" s="42" t="inlineStr">
        <is>
          <t>C021</t>
        </is>
      </c>
      <c r="B22" s="42" t="inlineStr">
        <is>
          <t>Beijing</t>
        </is>
      </c>
      <c r="C22" s="42" t="inlineStr">
        <is>
          <t>09:00</t>
        </is>
      </c>
      <c r="D22" s="42" t="inlineStr">
        <is>
          <t>13:00</t>
        </is>
      </c>
    </row>
    <row r="23">
      <c r="A23" t="inlineStr">
        <is>
          <t>C022</t>
        </is>
      </c>
      <c r="B23" t="inlineStr">
        <is>
          <t>Xiamen</t>
        </is>
      </c>
      <c r="C23" t="inlineStr">
        <is>
          <t>10:00</t>
        </is>
      </c>
      <c r="D23" t="inlineStr">
        <is>
          <t>12:00</t>
        </is>
      </c>
    </row>
    <row r="24">
      <c r="A24" s="42" t="inlineStr">
        <is>
          <t>C023</t>
        </is>
      </c>
      <c r="B24" s="42" t="inlineStr">
        <is>
          <t>Wuhan</t>
        </is>
      </c>
      <c r="C24" s="42" t="inlineStr">
        <is>
          <t>09:00</t>
        </is>
      </c>
      <c r="D24" s="42" t="inlineStr">
        <is>
          <t>14:00</t>
        </is>
      </c>
    </row>
    <row r="25">
      <c r="A25" t="inlineStr">
        <is>
          <t>C024</t>
        </is>
      </c>
      <c r="B25" t="inlineStr">
        <is>
          <t>Hefei</t>
        </is>
      </c>
      <c r="C25" t="inlineStr">
        <is>
          <t>06:00</t>
        </is>
      </c>
      <c r="D25" t="inlineStr">
        <is>
          <t>11:00</t>
        </is>
      </c>
    </row>
    <row r="26">
      <c r="A26" s="42" t="inlineStr">
        <is>
          <t>C025</t>
        </is>
      </c>
      <c r="B26" s="42" t="inlineStr">
        <is>
          <t>Foshan</t>
        </is>
      </c>
      <c r="C26" s="42" t="inlineStr">
        <is>
          <t>07:00</t>
        </is>
      </c>
      <c r="D26" s="42" t="inlineStr">
        <is>
          <t>09:00</t>
        </is>
      </c>
    </row>
    <row r="27">
      <c r="A27" t="inlineStr">
        <is>
          <t>C026</t>
        </is>
      </c>
      <c r="B27" t="inlineStr">
        <is>
          <t>Shenzhen</t>
        </is>
      </c>
      <c r="C27" t="inlineStr">
        <is>
          <t>10:00</t>
        </is>
      </c>
      <c r="D27" t="inlineStr">
        <is>
          <t>15:00</t>
        </is>
      </c>
    </row>
    <row r="28">
      <c r="A28" s="42" t="inlineStr">
        <is>
          <t>C027</t>
        </is>
      </c>
      <c r="B28" s="42" t="inlineStr">
        <is>
          <t>Shenzhen</t>
        </is>
      </c>
      <c r="C28" s="42" t="inlineStr">
        <is>
          <t>13:00</t>
        </is>
      </c>
      <c r="D28" s="42" t="inlineStr">
        <is>
          <t>15:00</t>
        </is>
      </c>
    </row>
    <row r="29">
      <c r="A29" t="inlineStr">
        <is>
          <t>C028</t>
        </is>
      </c>
      <c r="B29" t="inlineStr">
        <is>
          <t>Tianjin</t>
        </is>
      </c>
      <c r="C29" t="inlineStr">
        <is>
          <t>09:00</t>
        </is>
      </c>
      <c r="D29" t="inlineStr">
        <is>
          <t>11:00</t>
        </is>
      </c>
    </row>
    <row r="30">
      <c r="A30" s="42" t="inlineStr">
        <is>
          <t>C029</t>
        </is>
      </c>
      <c r="B30" s="42" t="inlineStr">
        <is>
          <t>Shenzhen</t>
        </is>
      </c>
      <c r="C30" s="42" t="inlineStr">
        <is>
          <t>07:00</t>
        </is>
      </c>
      <c r="D30" s="42" t="inlineStr">
        <is>
          <t>11:00</t>
        </is>
      </c>
    </row>
    <row r="31">
      <c r="A31" t="inlineStr">
        <is>
          <t>C030</t>
        </is>
      </c>
      <c r="B31" t="inlineStr">
        <is>
          <t>Shanghai</t>
        </is>
      </c>
      <c r="C31" t="inlineStr">
        <is>
          <t>06:00</t>
        </is>
      </c>
      <c r="D31" t="inlineStr">
        <is>
          <t>10:00</t>
        </is>
      </c>
    </row>
    <row r="32">
      <c r="A32" s="42" t="inlineStr">
        <is>
          <t>C031</t>
        </is>
      </c>
      <c r="B32" s="42" t="inlineStr">
        <is>
          <t>Shenzhen</t>
        </is>
      </c>
      <c r="C32" s="42" t="inlineStr">
        <is>
          <t>11:00</t>
        </is>
      </c>
      <c r="D32" s="42" t="inlineStr">
        <is>
          <t>16:00</t>
        </is>
      </c>
    </row>
    <row r="33">
      <c r="A33" t="inlineStr">
        <is>
          <t>C032</t>
        </is>
      </c>
      <c r="B33" t="inlineStr">
        <is>
          <t>Changsha</t>
        </is>
      </c>
      <c r="C33" t="inlineStr">
        <is>
          <t>07:00</t>
        </is>
      </c>
      <c r="D33" t="inlineStr">
        <is>
          <t>12:00</t>
        </is>
      </c>
    </row>
    <row r="34">
      <c r="A34" s="42" t="inlineStr">
        <is>
          <t>C033</t>
        </is>
      </c>
      <c r="B34" s="42" t="inlineStr">
        <is>
          <t>Ningbo</t>
        </is>
      </c>
      <c r="C34" s="42" t="inlineStr">
        <is>
          <t>13:00</t>
        </is>
      </c>
      <c r="D34" s="42" t="inlineStr">
        <is>
          <t>16:00</t>
        </is>
      </c>
    </row>
    <row r="35">
      <c r="A35" t="inlineStr">
        <is>
          <t>C034</t>
        </is>
      </c>
      <c r="B35" t="inlineStr">
        <is>
          <t>Tianjin</t>
        </is>
      </c>
      <c r="C35" t="inlineStr">
        <is>
          <t>10:00</t>
        </is>
      </c>
      <c r="D35" t="inlineStr">
        <is>
          <t>14:00</t>
        </is>
      </c>
    </row>
    <row r="36">
      <c r="A36" s="42" t="inlineStr">
        <is>
          <t>C035</t>
        </is>
      </c>
      <c r="B36" s="42" t="inlineStr">
        <is>
          <t>Guangzhou</t>
        </is>
      </c>
      <c r="C36" s="42" t="inlineStr">
        <is>
          <t>09:00</t>
        </is>
      </c>
      <c r="D36" s="42" t="inlineStr">
        <is>
          <t>11:00</t>
        </is>
      </c>
    </row>
    <row r="37">
      <c r="A37" t="inlineStr">
        <is>
          <t>C036</t>
        </is>
      </c>
      <c r="B37" t="inlineStr">
        <is>
          <t>Wuhan</t>
        </is>
      </c>
      <c r="C37" t="inlineStr">
        <is>
          <t>08:00</t>
        </is>
      </c>
      <c r="D37" t="inlineStr">
        <is>
          <t>12:00</t>
        </is>
      </c>
    </row>
    <row r="38">
      <c r="A38" s="42" t="inlineStr">
        <is>
          <t>C037</t>
        </is>
      </c>
      <c r="B38" s="42" t="inlineStr">
        <is>
          <t>Changsha</t>
        </is>
      </c>
      <c r="C38" s="42" t="inlineStr">
        <is>
          <t>09:00</t>
        </is>
      </c>
      <c r="D38" s="42" t="inlineStr">
        <is>
          <t>13:00</t>
        </is>
      </c>
    </row>
    <row r="39">
      <c r="A39" t="inlineStr">
        <is>
          <t>C038</t>
        </is>
      </c>
      <c r="B39" t="inlineStr">
        <is>
          <t>Jinan</t>
        </is>
      </c>
      <c r="C39" t="inlineStr">
        <is>
          <t>06:00</t>
        </is>
      </c>
      <c r="D39" t="inlineStr">
        <is>
          <t>10:00</t>
        </is>
      </c>
    </row>
    <row r="40">
      <c r="A40" s="42" t="inlineStr">
        <is>
          <t>C039</t>
        </is>
      </c>
      <c r="B40" s="42" t="inlineStr">
        <is>
          <t>Qingdao</t>
        </is>
      </c>
      <c r="C40" s="42" t="inlineStr">
        <is>
          <t>08:00</t>
        </is>
      </c>
      <c r="D40" s="42" t="inlineStr">
        <is>
          <t>10:00</t>
        </is>
      </c>
    </row>
    <row r="41">
      <c r="A41" t="inlineStr">
        <is>
          <t>C040</t>
        </is>
      </c>
      <c r="B41" t="inlineStr">
        <is>
          <t>Xiamen</t>
        </is>
      </c>
      <c r="C41" t="inlineStr">
        <is>
          <t>09:00</t>
        </is>
      </c>
      <c r="D41" t="inlineStr">
        <is>
          <t>11:00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F21"/>
  <sheetViews>
    <sheetView workbookViewId="0">
      <selection activeCell="A1" sqref="A1"/>
    </sheetView>
  </sheetViews>
  <sheetFormatPr baseColWidth="8" defaultRowHeight="15"/>
  <sheetData>
    <row r="1">
      <c r="A1" s="41" t="inlineStr">
        <is>
          <t>订单号</t>
        </is>
      </c>
      <c r="B1" s="41" t="inlineStr">
        <is>
          <t>Customer</t>
        </is>
      </c>
      <c r="C1" s="41" t="inlineStr">
        <is>
          <t>City</t>
        </is>
      </c>
      <c r="D1" s="41" t="inlineStr">
        <is>
          <t>Weight (kg)</t>
        </is>
      </c>
      <c r="E1" s="41" t="inlineStr">
        <is>
          <t>Delivery Date</t>
        </is>
      </c>
      <c r="F1" s="41" t="inlineStr">
        <is>
          <t>Status</t>
        </is>
      </c>
    </row>
    <row r="2">
      <c r="A2" s="42" t="inlineStr">
        <is>
          <t>DIN-0001</t>
        </is>
      </c>
      <c r="B2" s="42" t="inlineStr">
        <is>
          <t>C029</t>
        </is>
      </c>
      <c r="C2" s="42" t="inlineStr">
        <is>
          <t>Foshan</t>
        </is>
      </c>
      <c r="D2" s="42" t="n">
        <v>1087</v>
      </c>
      <c r="E2" s="42" t="inlineStr">
        <is>
          <t>2026-08-13</t>
        </is>
      </c>
      <c r="F2" s="42" t="inlineStr">
        <is>
          <t>delivered</t>
        </is>
      </c>
    </row>
    <row r="3">
      <c r="A3" t="inlineStr">
        <is>
          <t>DIN-0002</t>
        </is>
      </c>
      <c r="B3" t="inlineStr">
        <is>
          <t>C040</t>
        </is>
      </c>
      <c r="C3" t="inlineStr">
        <is>
          <t>Hefei</t>
        </is>
      </c>
      <c r="D3" t="n">
        <v>406</v>
      </c>
      <c r="E3" t="inlineStr">
        <is>
          <t>2026-08-08</t>
        </is>
      </c>
      <c r="F3" t="inlineStr">
        <is>
          <t>in-transit</t>
        </is>
      </c>
    </row>
    <row r="4">
      <c r="A4" s="42" t="inlineStr">
        <is>
          <t>DIN-0003</t>
        </is>
      </c>
      <c r="B4" s="42" t="inlineStr">
        <is>
          <t>C015</t>
        </is>
      </c>
      <c r="C4" s="42" t="inlineStr">
        <is>
          <t>Xiamen</t>
        </is>
      </c>
      <c r="D4" s="42" t="n">
        <v>605</v>
      </c>
      <c r="E4" s="42" t="inlineStr">
        <is>
          <t>2026-05-10</t>
        </is>
      </c>
      <c r="F4" s="42" t="inlineStr">
        <is>
          <t>delivered</t>
        </is>
      </c>
    </row>
    <row r="5">
      <c r="A5" t="inlineStr">
        <is>
          <t>DIN-0004</t>
        </is>
      </c>
      <c r="B5" t="inlineStr">
        <is>
          <t>C036</t>
        </is>
      </c>
      <c r="C5" t="inlineStr">
        <is>
          <t>Tianjin</t>
        </is>
      </c>
      <c r="D5" t="n">
        <v>1373</v>
      </c>
      <c r="E5" t="inlineStr">
        <is>
          <t>2026-08-23</t>
        </is>
      </c>
      <c r="F5" t="inlineStr">
        <is>
          <t>pending</t>
        </is>
      </c>
    </row>
    <row r="6">
      <c r="A6" s="42" t="inlineStr">
        <is>
          <t>DIN-0005</t>
        </is>
      </c>
      <c r="B6" s="42" t="inlineStr">
        <is>
          <t>C033</t>
        </is>
      </c>
      <c r="C6" s="42" t="inlineStr">
        <is>
          <t>Shenzhen</t>
        </is>
      </c>
      <c r="D6" s="42" t="n">
        <v>997</v>
      </c>
      <c r="E6" s="42" t="inlineStr">
        <is>
          <t>2026-08-07</t>
        </is>
      </c>
      <c r="F6" s="42" t="inlineStr">
        <is>
          <t>scheduled</t>
        </is>
      </c>
    </row>
    <row r="7">
      <c r="A7" t="inlineStr">
        <is>
          <t>DIN-0006</t>
        </is>
      </c>
      <c r="B7" t="inlineStr">
        <is>
          <t>C014</t>
        </is>
      </c>
      <c r="C7" t="inlineStr">
        <is>
          <t>Ningbo</t>
        </is>
      </c>
      <c r="D7" t="n">
        <v>942</v>
      </c>
      <c r="E7" t="inlineStr">
        <is>
          <t>2026-08-03</t>
        </is>
      </c>
      <c r="F7" t="inlineStr">
        <is>
          <t>pending</t>
        </is>
      </c>
    </row>
    <row r="8">
      <c r="A8" s="42" t="inlineStr">
        <is>
          <t>DIN-0007</t>
        </is>
      </c>
      <c r="B8" s="42" t="inlineStr">
        <is>
          <t>C012</t>
        </is>
      </c>
      <c r="C8" s="42" t="inlineStr">
        <is>
          <t>Tianjin</t>
        </is>
      </c>
      <c r="D8" s="42" t="n">
        <v>1096</v>
      </c>
      <c r="E8" s="42" t="inlineStr">
        <is>
          <t>2026-05-01</t>
        </is>
      </c>
      <c r="F8" s="42" t="inlineStr">
        <is>
          <t>delivered</t>
        </is>
      </c>
    </row>
    <row r="9">
      <c r="A9" t="inlineStr">
        <is>
          <t>DIN-0008</t>
        </is>
      </c>
      <c r="B9" t="inlineStr">
        <is>
          <t>C016</t>
        </is>
      </c>
      <c r="C9" t="inlineStr">
        <is>
          <t>Chengdu</t>
        </is>
      </c>
      <c r="D9" t="n">
        <v>1828</v>
      </c>
      <c r="E9" t="inlineStr">
        <is>
          <t>2026-08-17</t>
        </is>
      </c>
      <c r="F9" t="inlineStr">
        <is>
          <t>scheduled</t>
        </is>
      </c>
    </row>
    <row r="10">
      <c r="A10" s="42" t="inlineStr">
        <is>
          <t>DIN-0009</t>
        </is>
      </c>
      <c r="B10" s="42" t="inlineStr">
        <is>
          <t>C003</t>
        </is>
      </c>
      <c r="C10" s="42" t="inlineStr">
        <is>
          <t>Zhengzhou</t>
        </is>
      </c>
      <c r="D10" s="42" t="n">
        <v>1988</v>
      </c>
      <c r="E10" s="42" t="inlineStr">
        <is>
          <t>2026-08-17</t>
        </is>
      </c>
      <c r="F10" s="42" t="inlineStr">
        <is>
          <t>in-transit</t>
        </is>
      </c>
    </row>
    <row r="11">
      <c r="A11" t="inlineStr">
        <is>
          <t>DIN-0010</t>
        </is>
      </c>
      <c r="B11" t="inlineStr">
        <is>
          <t>C012</t>
        </is>
      </c>
      <c r="C11" t="inlineStr">
        <is>
          <t>Beijing</t>
        </is>
      </c>
      <c r="D11" t="n">
        <v>1823</v>
      </c>
      <c r="E11" t="inlineStr">
        <is>
          <t>2026-08-09</t>
        </is>
      </c>
      <c r="F11" t="inlineStr">
        <is>
          <t>delivered</t>
        </is>
      </c>
    </row>
    <row r="12">
      <c r="A12" s="42" t="inlineStr">
        <is>
          <t>DIN-0011</t>
        </is>
      </c>
      <c r="B12" s="42" t="inlineStr">
        <is>
          <t>C006</t>
        </is>
      </c>
      <c r="C12" s="42" t="inlineStr">
        <is>
          <t>Suzhou</t>
        </is>
      </c>
      <c r="D12" s="42" t="n">
        <v>1789</v>
      </c>
      <c r="E12" s="42" t="inlineStr">
        <is>
          <t>2026-08-20</t>
        </is>
      </c>
      <c r="F12" s="42" t="inlineStr">
        <is>
          <t>scheduled</t>
        </is>
      </c>
    </row>
    <row r="13">
      <c r="A13" t="inlineStr">
        <is>
          <t>DIN-0012</t>
        </is>
      </c>
      <c r="B13" t="inlineStr">
        <is>
          <t>C013</t>
        </is>
      </c>
      <c r="C13" t="inlineStr">
        <is>
          <t>Ningbo</t>
        </is>
      </c>
      <c r="D13" t="n">
        <v>1278</v>
      </c>
      <c r="E13" t="inlineStr">
        <is>
          <t>2026-05-18</t>
        </is>
      </c>
      <c r="F13" t="inlineStr">
        <is>
          <t>delivered</t>
        </is>
      </c>
    </row>
    <row r="14">
      <c r="A14" s="42" t="inlineStr">
        <is>
          <t>DIN-0013</t>
        </is>
      </c>
      <c r="B14" s="42" t="inlineStr">
        <is>
          <t>C034</t>
        </is>
      </c>
      <c r="C14" s="42" t="inlineStr">
        <is>
          <t>Wuhan</t>
        </is>
      </c>
      <c r="D14" s="42" t="n">
        <v>1460</v>
      </c>
      <c r="E14" s="42" t="inlineStr">
        <is>
          <t>2026-08-22</t>
        </is>
      </c>
      <c r="F14" s="42" t="inlineStr">
        <is>
          <t>pending</t>
        </is>
      </c>
    </row>
    <row r="15">
      <c r="A15" t="inlineStr">
        <is>
          <t>DIN-0014</t>
        </is>
      </c>
      <c r="B15" t="inlineStr">
        <is>
          <t>C010</t>
        </is>
      </c>
      <c r="C15" t="inlineStr">
        <is>
          <t>Xi'an</t>
        </is>
      </c>
      <c r="D15" t="n">
        <v>1150</v>
      </c>
      <c r="E15" t="inlineStr">
        <is>
          <t>2026-07-21</t>
        </is>
      </c>
      <c r="F15" t="inlineStr">
        <is>
          <t>scheduled</t>
        </is>
      </c>
    </row>
    <row r="16">
      <c r="A16" s="42" t="inlineStr">
        <is>
          <t>DIN-0015</t>
        </is>
      </c>
      <c r="B16" s="42" t="inlineStr">
        <is>
          <t>C007</t>
        </is>
      </c>
      <c r="C16" s="42" t="inlineStr">
        <is>
          <t>Xi'an</t>
        </is>
      </c>
      <c r="D16" s="42" t="n">
        <v>1958</v>
      </c>
      <c r="E16" s="42" t="inlineStr">
        <is>
          <t>2026-06-13</t>
        </is>
      </c>
      <c r="F16" s="42" t="inlineStr">
        <is>
          <t>scheduled</t>
        </is>
      </c>
    </row>
    <row r="17">
      <c r="A17" t="inlineStr">
        <is>
          <t>DIN-0016</t>
        </is>
      </c>
      <c r="B17" t="inlineStr">
        <is>
          <t>C008</t>
        </is>
      </c>
      <c r="C17" t="inlineStr">
        <is>
          <t>Dalian</t>
        </is>
      </c>
      <c r="D17" t="n">
        <v>771</v>
      </c>
      <c r="E17" t="inlineStr">
        <is>
          <t>2026-07-13</t>
        </is>
      </c>
      <c r="F17" t="inlineStr">
        <is>
          <t>pending</t>
        </is>
      </c>
    </row>
    <row r="18">
      <c r="A18" s="42" t="inlineStr">
        <is>
          <t>DIN-0017</t>
        </is>
      </c>
      <c r="B18" s="42" t="inlineStr">
        <is>
          <t>C028</t>
        </is>
      </c>
      <c r="C18" s="42" t="inlineStr">
        <is>
          <t>Ningbo</t>
        </is>
      </c>
      <c r="D18" s="42" t="n">
        <v>1026</v>
      </c>
      <c r="E18" s="42" t="inlineStr">
        <is>
          <t>2026-06-15</t>
        </is>
      </c>
      <c r="F18" s="42" t="inlineStr">
        <is>
          <t>pending</t>
        </is>
      </c>
    </row>
    <row r="19">
      <c r="A19" t="inlineStr">
        <is>
          <t>DIN-0018</t>
        </is>
      </c>
      <c r="B19" t="inlineStr">
        <is>
          <t>C020</t>
        </is>
      </c>
      <c r="C19" t="inlineStr">
        <is>
          <t>Wuhan</t>
        </is>
      </c>
      <c r="D19" t="n">
        <v>1042</v>
      </c>
      <c r="E19" t="inlineStr">
        <is>
          <t>2026-08-09</t>
        </is>
      </c>
      <c r="F19" t="inlineStr">
        <is>
          <t>scheduled</t>
        </is>
      </c>
    </row>
    <row r="20">
      <c r="A20" s="42" t="inlineStr">
        <is>
          <t>DIN-0019</t>
        </is>
      </c>
      <c r="B20" s="42" t="inlineStr">
        <is>
          <t>C004</t>
        </is>
      </c>
      <c r="C20" s="42" t="inlineStr">
        <is>
          <t>Ningbo</t>
        </is>
      </c>
      <c r="D20" s="42" t="n">
        <v>934</v>
      </c>
      <c r="E20" s="42" t="inlineStr">
        <is>
          <t>2026-07-24</t>
        </is>
      </c>
      <c r="F20" s="42" t="inlineStr">
        <is>
          <t>delivered</t>
        </is>
      </c>
    </row>
    <row r="21">
      <c r="A21" t="inlineStr">
        <is>
          <t>DIN-0020</t>
        </is>
      </c>
      <c r="B21" t="inlineStr">
        <is>
          <t>C024</t>
        </is>
      </c>
      <c r="C21" t="inlineStr">
        <is>
          <t>Dalian</t>
        </is>
      </c>
      <c r="D21" t="n">
        <v>1413</v>
      </c>
      <c r="E21" t="inlineStr">
        <is>
          <t>2026-08-19</t>
        </is>
      </c>
      <c r="F21" t="inlineStr">
        <is>
          <t>delivered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s="41" t="inlineStr">
        <is>
          <t>param_id</t>
        </is>
      </c>
      <c r="B1" s="41" t="inlineStr">
        <is>
          <t>name</t>
        </is>
      </c>
      <c r="C1" s="41" t="inlineStr">
        <is>
          <t>value</t>
        </is>
      </c>
      <c r="D1" s="41" t="inlineStr">
        <is>
          <t>unit</t>
        </is>
      </c>
      <c r="E1" s="41" t="inlineStr">
        <is>
          <t>notes</t>
        </is>
      </c>
    </row>
    <row r="2">
      <c r="A2" s="42" t="inlineStr">
        <is>
          <t>MAX_VEHICLES</t>
        </is>
      </c>
      <c r="B2" s="42" t="inlineStr">
        <is>
          <t>Max fleet size</t>
        </is>
      </c>
      <c r="C2" s="42" t="n">
        <v>15</v>
      </c>
      <c r="D2" s="42" t="inlineStr">
        <is>
          <t>vehicles</t>
        </is>
      </c>
      <c r="E2" s="42" t="inlineStr">
        <is>
          <t>Hard fleet cap</t>
        </is>
      </c>
    </row>
    <row r="3">
      <c r="A3" t="inlineStr">
        <is>
          <t>SPEED_KMH</t>
        </is>
      </c>
      <c r="B3" t="inlineStr">
        <is>
          <t>Average speed</t>
        </is>
      </c>
      <c r="C3" t="n">
        <v>60</v>
      </c>
      <c r="D3" t="inlineStr">
        <is>
          <t>km/h</t>
        </is>
      </c>
      <c r="E3" t="inlineStr">
        <is>
          <t>Inter-city avg</t>
        </is>
      </c>
    </row>
    <row r="4">
      <c r="A4" s="42" t="inlineStr">
        <is>
          <t>SERVICE_TIME_MIN</t>
        </is>
      </c>
      <c r="B4" s="42" t="inlineStr">
        <is>
          <t>Service time per stop</t>
        </is>
      </c>
      <c r="C4" s="42" t="n">
        <v>15</v>
      </c>
      <c r="D4" s="42" t="inlineStr">
        <is>
          <t>minutes</t>
        </is>
      </c>
      <c r="E4" s="42" t="inlineStr">
        <is>
          <t>Per delivery</t>
        </is>
      </c>
    </row>
    <row r="5">
      <c r="A5" t="inlineStr">
        <is>
          <t>MAX_STOPS_PER_ROUTE</t>
        </is>
      </c>
      <c r="B5" t="inlineStr">
        <is>
          <t>Max stops per route</t>
        </is>
      </c>
      <c r="C5" t="n">
        <v>20</v>
      </c>
      <c r="D5" t="inlineStr">
        <is>
          <t>stops</t>
        </is>
      </c>
      <c r="E5" t="inlineStr">
        <is>
          <t>Driver workload</t>
        </is>
      </c>
    </row>
    <row r="6">
      <c r="A6" s="42" t="inlineStr">
        <is>
          <t>FUEL_PRICE</t>
        </is>
      </c>
      <c r="B6" s="42" t="inlineStr">
        <is>
          <t>Fuel unit price</t>
        </is>
      </c>
      <c r="C6" s="42" t="n">
        <v>1.85</v>
      </c>
      <c r="D6" s="42" t="inlineStr">
        <is>
          <t>USD/L</t>
        </is>
      </c>
      <c r="E6" s="42" t="inlineStr">
        <is>
          <t>Last year average</t>
        </is>
      </c>
    </row>
    <row r="7">
      <c r="A7" t="inlineStr">
        <is>
          <t>DRIVER_SHIFT_HOURS</t>
        </is>
      </c>
      <c r="B7" t="inlineStr">
        <is>
          <t>Driver shift hours</t>
        </is>
      </c>
      <c r="C7" t="n">
        <v>8</v>
      </c>
      <c r="D7" t="inlineStr">
        <is>
          <t>hours</t>
        </is>
      </c>
      <c r="E7" t="inlineStr">
        <is>
          <t>Regulatory limit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Tim Hall</dc:creator>
  <dcterms:created xsi:type="dcterms:W3CDTF">2026-05-09T00:00:00Z</dcterms:created>
  <dcterms:modified xsi:type="dcterms:W3CDTF">2026-05-09T00:00:00Z</dcterms:modified>
  <cp:lastModifiedBy>Tim Hall &lt;tim.hall.engr@gmail.com&gt;</cp:lastModifiedBy>
</cp:coreProperties>
</file>