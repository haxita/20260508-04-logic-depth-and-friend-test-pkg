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ta" sheetId="1" state="visible" r:id="rId1"/>
    <sheet name="Summary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31"/>
  <sheetViews>
    <sheetView workbookViewId="0">
      <selection activeCell="A1" sqref="A1"/>
    </sheetView>
  </sheetViews>
  <sheetFormatPr baseColWidth="8" defaultRowHeight="15"/>
  <sheetData>
    <row r="1">
      <c r="A1" t="inlineStr">
        <is>
          <t>Date</t>
        </is>
      </c>
      <c r="B1" t="inlineStr">
        <is>
          <t>Product</t>
        </is>
      </c>
      <c r="C1" t="inlineStr">
        <is>
          <t>Quantity</t>
        </is>
      </c>
      <c r="D1" t="inlineStr">
        <is>
          <t>Price</t>
        </is>
      </c>
    </row>
    <row r="2">
      <c r="A2" t="inlineStr">
        <is>
          <t>2026-04-02</t>
        </is>
      </c>
      <c r="B2" t="inlineStr">
        <is>
          <t>Widget-A</t>
        </is>
      </c>
      <c r="C2" t="n">
        <v>66</v>
      </c>
      <c r="D2" t="n">
        <v>47.79</v>
      </c>
    </row>
    <row r="3">
      <c r="A3" t="inlineStr">
        <is>
          <t>2026-04-03</t>
        </is>
      </c>
      <c r="B3" t="inlineStr">
        <is>
          <t>Gadget-Y</t>
        </is>
      </c>
      <c r="C3" t="n">
        <v>25</v>
      </c>
      <c r="D3" t="n">
        <v>20.84</v>
      </c>
    </row>
    <row r="4">
      <c r="A4" t="inlineStr">
        <is>
          <t>2026-04-04</t>
        </is>
      </c>
      <c r="B4" t="inlineStr">
        <is>
          <t>Gadget-Y</t>
        </is>
      </c>
      <c r="C4" t="n">
        <v>3</v>
      </c>
      <c r="D4" t="n">
        <v>37.32</v>
      </c>
    </row>
    <row r="5">
      <c r="A5" t="inlineStr">
        <is>
          <t>2026-04-05</t>
        </is>
      </c>
      <c r="B5" t="inlineStr">
        <is>
          <t>Widget-A</t>
        </is>
      </c>
      <c r="C5" t="n">
        <v>8</v>
      </c>
      <c r="D5" t="n">
        <v>32.18</v>
      </c>
    </row>
    <row r="6">
      <c r="A6" t="inlineStr">
        <is>
          <t>2026-04-06</t>
        </is>
      </c>
      <c r="B6" t="inlineStr">
        <is>
          <t>Widget-B</t>
        </is>
      </c>
      <c r="C6" t="n">
        <v>44</v>
      </c>
      <c r="D6" t="n">
        <v>29.3</v>
      </c>
    </row>
    <row r="7">
      <c r="A7" t="inlineStr">
        <is>
          <t>2026-04-07</t>
        </is>
      </c>
      <c r="B7" t="inlineStr">
        <is>
          <t>Widget-A</t>
        </is>
      </c>
      <c r="C7" t="n">
        <v>1</v>
      </c>
      <c r="D7" t="n">
        <v>8.15</v>
      </c>
    </row>
    <row r="8">
      <c r="A8" t="inlineStr">
        <is>
          <t>2026-04-08</t>
        </is>
      </c>
      <c r="B8" t="inlineStr">
        <is>
          <t>Gadget-X</t>
        </is>
      </c>
      <c r="C8" t="n">
        <v>1</v>
      </c>
      <c r="D8" t="n">
        <v>28.29</v>
      </c>
    </row>
    <row r="9">
      <c r="A9" t="inlineStr">
        <is>
          <t>2026-04-09</t>
        </is>
      </c>
      <c r="B9" t="inlineStr">
        <is>
          <t>Gadget-X</t>
        </is>
      </c>
      <c r="C9" t="n">
        <v>10</v>
      </c>
      <c r="D9" t="n">
        <v>47.11</v>
      </c>
    </row>
    <row r="10">
      <c r="A10" t="inlineStr">
        <is>
          <t>2026-04-10</t>
        </is>
      </c>
      <c r="B10" t="inlineStr">
        <is>
          <t>Gadget-X</t>
        </is>
      </c>
      <c r="C10" t="n">
        <v>48</v>
      </c>
      <c r="D10" t="n">
        <v>35.1</v>
      </c>
    </row>
    <row r="11">
      <c r="A11" t="inlineStr">
        <is>
          <t>2026-04-11</t>
        </is>
      </c>
      <c r="B11" t="inlineStr">
        <is>
          <t>Gadget-Y</t>
        </is>
      </c>
      <c r="C11" t="n">
        <v>70</v>
      </c>
      <c r="D11" t="n">
        <v>2.73</v>
      </c>
    </row>
    <row r="12">
      <c r="A12" t="inlineStr">
        <is>
          <t>2026-04-12</t>
        </is>
      </c>
      <c r="B12" t="inlineStr">
        <is>
          <t>Gadget-Y</t>
        </is>
      </c>
      <c r="C12" t="n">
        <v>92</v>
      </c>
      <c r="D12" t="n">
        <v>10.72</v>
      </c>
    </row>
    <row r="13">
      <c r="A13" t="inlineStr">
        <is>
          <t>2026-04-13</t>
        </is>
      </c>
      <c r="B13" t="inlineStr">
        <is>
          <t>Gadget-Y</t>
        </is>
      </c>
      <c r="C13" t="n">
        <v>7</v>
      </c>
      <c r="D13" t="n">
        <v>23.61</v>
      </c>
    </row>
    <row r="14">
      <c r="A14" t="inlineStr">
        <is>
          <t>2026-04-14</t>
        </is>
      </c>
      <c r="B14" t="inlineStr">
        <is>
          <t>Gadget-X</t>
        </is>
      </c>
      <c r="C14" t="n">
        <v>10</v>
      </c>
      <c r="D14" t="n">
        <v>12.4</v>
      </c>
    </row>
    <row r="15">
      <c r="A15" t="inlineStr">
        <is>
          <t>2026-04-15</t>
        </is>
      </c>
      <c r="B15" t="inlineStr">
        <is>
          <t>Widget-B</t>
        </is>
      </c>
      <c r="C15" t="n">
        <v>100</v>
      </c>
      <c r="D15" t="n">
        <v>17.65</v>
      </c>
    </row>
    <row r="16">
      <c r="A16" t="inlineStr">
        <is>
          <t>2026-04-16</t>
        </is>
      </c>
      <c r="B16" t="inlineStr">
        <is>
          <t>Widget-B</t>
        </is>
      </c>
      <c r="C16" t="n">
        <v>7</v>
      </c>
      <c r="D16" t="n">
        <v>23.21</v>
      </c>
    </row>
    <row r="17">
      <c r="A17" t="inlineStr">
        <is>
          <t>2026-04-17</t>
        </is>
      </c>
      <c r="B17" t="inlineStr">
        <is>
          <t>Widget-A</t>
        </is>
      </c>
      <c r="C17" t="n">
        <v>5</v>
      </c>
      <c r="D17" t="n">
        <v>22.37</v>
      </c>
    </row>
    <row r="18">
      <c r="A18" t="inlineStr">
        <is>
          <t>2026-04-18</t>
        </is>
      </c>
      <c r="B18" t="inlineStr">
        <is>
          <t>Widget-B</t>
        </is>
      </c>
      <c r="C18" t="n">
        <v>45</v>
      </c>
      <c r="D18" t="n">
        <v>6.55</v>
      </c>
    </row>
    <row r="19">
      <c r="A19" t="inlineStr">
        <is>
          <t>2026-04-19</t>
        </is>
      </c>
      <c r="B19" t="inlineStr">
        <is>
          <t>Gadget-X</t>
        </is>
      </c>
      <c r="C19" t="n">
        <v>42</v>
      </c>
      <c r="D19" t="n">
        <v>38.08</v>
      </c>
    </row>
    <row r="20">
      <c r="A20" t="inlineStr">
        <is>
          <t>2026-04-20</t>
        </is>
      </c>
      <c r="B20" t="inlineStr">
        <is>
          <t>Widget-B</t>
        </is>
      </c>
      <c r="C20" t="n">
        <v>45</v>
      </c>
      <c r="D20" t="n">
        <v>2.63</v>
      </c>
    </row>
    <row r="21">
      <c r="A21" t="inlineStr">
        <is>
          <t>2026-04-21</t>
        </is>
      </c>
      <c r="B21" t="inlineStr">
        <is>
          <t>Gadget-X</t>
        </is>
      </c>
      <c r="C21" t="n">
        <v>37</v>
      </c>
      <c r="D21" t="n">
        <v>24.49</v>
      </c>
    </row>
    <row r="22">
      <c r="A22" t="inlineStr">
        <is>
          <t>2026-04-22</t>
        </is>
      </c>
      <c r="B22" t="inlineStr">
        <is>
          <t>Gadget-X</t>
        </is>
      </c>
      <c r="C22" t="n">
        <v>35</v>
      </c>
      <c r="D22" t="n">
        <v>39.26</v>
      </c>
    </row>
    <row r="23">
      <c r="A23" t="inlineStr">
        <is>
          <t>2026-04-23</t>
        </is>
      </c>
      <c r="B23" t="inlineStr">
        <is>
          <t>Widget-B</t>
        </is>
      </c>
      <c r="C23" t="n">
        <v>88</v>
      </c>
      <c r="D23" t="n">
        <v>10.28</v>
      </c>
    </row>
    <row r="24">
      <c r="A24" t="inlineStr">
        <is>
          <t>2026-04-24</t>
        </is>
      </c>
      <c r="B24" t="inlineStr">
        <is>
          <t>Gadget-Y</t>
        </is>
      </c>
      <c r="C24" t="n">
        <v>3</v>
      </c>
      <c r="D24" t="n">
        <v>30.11</v>
      </c>
    </row>
    <row r="25">
      <c r="A25" t="inlineStr">
        <is>
          <t>2026-04-25</t>
        </is>
      </c>
      <c r="B25" t="inlineStr">
        <is>
          <t>Widget-A</t>
        </is>
      </c>
      <c r="C25" t="n">
        <v>24</v>
      </c>
      <c r="D25" t="n">
        <v>29.55</v>
      </c>
    </row>
    <row r="26">
      <c r="A26" t="inlineStr">
        <is>
          <t>2026-04-26</t>
        </is>
      </c>
      <c r="B26" t="inlineStr">
        <is>
          <t>Widget-B</t>
        </is>
      </c>
      <c r="C26" t="n">
        <v>98</v>
      </c>
      <c r="D26" t="n">
        <v>13.91</v>
      </c>
    </row>
    <row r="27">
      <c r="A27" t="inlineStr">
        <is>
          <t>2026-04-27</t>
        </is>
      </c>
      <c r="B27" t="inlineStr">
        <is>
          <t>Gadget-X</t>
        </is>
      </c>
      <c r="C27" t="n">
        <v>14</v>
      </c>
      <c r="D27" t="n">
        <v>6.87</v>
      </c>
    </row>
    <row r="28">
      <c r="A28" t="inlineStr">
        <is>
          <t>2026-04-28</t>
        </is>
      </c>
      <c r="B28" t="inlineStr">
        <is>
          <t>Widget-B</t>
        </is>
      </c>
      <c r="C28" t="n">
        <v>29</v>
      </c>
      <c r="D28" t="n">
        <v>36.42</v>
      </c>
    </row>
    <row r="29">
      <c r="A29" t="inlineStr">
        <is>
          <t>2026-04-01</t>
        </is>
      </c>
      <c r="B29" t="inlineStr">
        <is>
          <t>Widget-B</t>
        </is>
      </c>
      <c r="C29" t="n">
        <v>77</v>
      </c>
      <c r="D29" t="n">
        <v>25.1</v>
      </c>
    </row>
    <row r="30">
      <c r="A30" t="inlineStr">
        <is>
          <t>2026-04-02</t>
        </is>
      </c>
      <c r="B30" t="inlineStr">
        <is>
          <t>Widget-A</t>
        </is>
      </c>
      <c r="C30" t="n">
        <v>25</v>
      </c>
      <c r="D30" t="n">
        <v>28.44</v>
      </c>
    </row>
    <row r="31">
      <c r="A31" t="inlineStr">
        <is>
          <t>2026-04-03</t>
        </is>
      </c>
      <c r="B31" t="inlineStr">
        <is>
          <t>Gadget-X</t>
        </is>
      </c>
      <c r="C31" t="n">
        <v>16</v>
      </c>
      <c r="D31" t="n">
        <v>9.109999999999999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9"/>
  <sheetViews>
    <sheetView workbookViewId="0">
      <selection activeCell="A1" sqref="A1"/>
    </sheetView>
  </sheetViews>
  <sheetFormatPr baseColWidth="8" defaultRowHeight="15"/>
  <sheetData>
    <row r="1">
      <c r="A1" t="inlineStr">
        <is>
          <t>Metric</t>
        </is>
      </c>
      <c r="B1" t="inlineStr">
        <is>
          <t>Value</t>
        </is>
      </c>
    </row>
    <row r="2">
      <c r="A2" t="inlineStr">
        <is>
          <t>Total Quantity</t>
        </is>
      </c>
      <c r="B2">
        <f>SUM(Data!C2:C31)</f>
        <v/>
      </c>
    </row>
    <row r="3">
      <c r="A3" t="inlineStr">
        <is>
          <t>Total Revenue</t>
        </is>
      </c>
      <c r="B3">
        <f>SUMPRODUCT(Data!C2:C31,Data!D2:D31)</f>
        <v/>
      </c>
    </row>
    <row r="4">
      <c r="A4" t="inlineStr">
        <is>
          <t>Widget-A Quantity</t>
        </is>
      </c>
      <c r="B4">
        <f>SUMIFS(Data!C2:C31,Data!B2:B31,"Widget-A")</f>
        <v/>
      </c>
    </row>
    <row r="5">
      <c r="A5" t="inlineStr">
        <is>
          <t>Widget-B Quantity</t>
        </is>
      </c>
      <c r="B5">
        <f>SUMIFS(Data!C2:C31,Data!B2:B31,"Widget-B")</f>
        <v/>
      </c>
    </row>
    <row r="6">
      <c r="A6" t="inlineStr">
        <is>
          <t>Gadget-X Quantity</t>
        </is>
      </c>
      <c r="B6">
        <f>SUMIFS(Data!C2:C31,Data!B2:B31,"Gadget-X")</f>
        <v/>
      </c>
    </row>
    <row r="7">
      <c r="A7" t="inlineStr">
        <is>
          <t>Gadget-Y Quantity</t>
        </is>
      </c>
      <c r="B7">
        <f>SUMIFS(Data!C2:C31,Data!B2:B31,"Gadget-Y")</f>
        <v/>
      </c>
    </row>
    <row r="8">
      <c r="A8" t="inlineStr">
        <is>
          <t>Avg Price</t>
        </is>
      </c>
      <c r="B8">
        <f>AVERAGE(Data!D2:D31)</f>
        <v/>
      </c>
    </row>
    <row r="9">
      <c r="A9" t="inlineStr">
        <is>
          <t>Max Price</t>
        </is>
      </c>
      <c r="B9">
        <f>MAX(Data!D2:D31)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2026-05-09T00:00:00Z</dcterms:created>
  <dcterms:modified xsi:type="dcterms:W3CDTF">2026-05-09T00:00:00Z</dcterms:modified>
</cp:coreProperties>
</file>